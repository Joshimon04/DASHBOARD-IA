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EE638645-78D1-4BCE-82F4-418DCFFFA9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  <sheet name="Calculos" sheetId="3" state="hidden" r:id="rId2"/>
    <sheet name="Listas" sheetId="4" state="hidden" r:id="rId3"/>
  </sheets>
  <definedNames>
    <definedName name="SegmentaciónDeDatos_ID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7" i="3" l="1"/>
  <c r="U57" i="3"/>
  <c r="T57" i="3"/>
  <c r="S57" i="3"/>
  <c r="A57" i="3"/>
  <c r="V56" i="3"/>
  <c r="U56" i="3"/>
  <c r="T56" i="3"/>
  <c r="S56" i="3"/>
  <c r="A56" i="3"/>
  <c r="V55" i="3"/>
  <c r="U55" i="3"/>
  <c r="T55" i="3"/>
  <c r="S55" i="3"/>
  <c r="A55" i="3"/>
  <c r="V54" i="3"/>
  <c r="U54" i="3"/>
  <c r="T54" i="3"/>
  <c r="S54" i="3"/>
  <c r="A54" i="3"/>
  <c r="V53" i="3"/>
  <c r="U53" i="3"/>
  <c r="T53" i="3"/>
  <c r="S53" i="3"/>
  <c r="A53" i="3"/>
  <c r="V52" i="3"/>
  <c r="U52" i="3"/>
  <c r="T52" i="3"/>
  <c r="S52" i="3"/>
  <c r="A52" i="3"/>
  <c r="V51" i="3"/>
  <c r="U51" i="3"/>
  <c r="T51" i="3"/>
  <c r="S51" i="3"/>
  <c r="A51" i="3"/>
  <c r="V50" i="3"/>
  <c r="U50" i="3"/>
  <c r="T50" i="3"/>
  <c r="S50" i="3"/>
  <c r="A50" i="3"/>
  <c r="V49" i="3"/>
  <c r="U49" i="3"/>
  <c r="T49" i="3"/>
  <c r="S49" i="3"/>
  <c r="A49" i="3"/>
  <c r="V48" i="3"/>
  <c r="U48" i="3"/>
  <c r="T48" i="3"/>
  <c r="S48" i="3"/>
  <c r="A48" i="3"/>
  <c r="V47" i="3"/>
  <c r="U47" i="3"/>
  <c r="T47" i="3"/>
  <c r="S47" i="3"/>
  <c r="A47" i="3"/>
  <c r="V46" i="3"/>
  <c r="U46" i="3"/>
  <c r="T46" i="3"/>
  <c r="S46" i="3"/>
  <c r="A46" i="3"/>
  <c r="V45" i="3"/>
  <c r="U45" i="3"/>
  <c r="T45" i="3"/>
  <c r="S45" i="3"/>
  <c r="A45" i="3"/>
  <c r="V44" i="3"/>
  <c r="U44" i="3"/>
  <c r="T44" i="3"/>
  <c r="S44" i="3"/>
  <c r="A44" i="3"/>
  <c r="V43" i="3"/>
  <c r="U43" i="3"/>
  <c r="T43" i="3"/>
  <c r="S43" i="3"/>
  <c r="A43" i="3"/>
  <c r="V42" i="3"/>
  <c r="U42" i="3"/>
  <c r="T42" i="3"/>
  <c r="S42" i="3"/>
  <c r="A42" i="3"/>
  <c r="V41" i="3"/>
  <c r="U41" i="3"/>
  <c r="T41" i="3"/>
  <c r="S41" i="3"/>
  <c r="A41" i="3"/>
  <c r="V40" i="3"/>
  <c r="U40" i="3"/>
  <c r="T40" i="3"/>
  <c r="S40" i="3"/>
  <c r="A40" i="3"/>
  <c r="V39" i="3"/>
  <c r="U39" i="3"/>
  <c r="T39" i="3"/>
  <c r="S39" i="3"/>
  <c r="A39" i="3"/>
  <c r="V38" i="3"/>
  <c r="U38" i="3"/>
  <c r="T38" i="3"/>
  <c r="S38" i="3"/>
  <c r="A38" i="3"/>
  <c r="V37" i="3"/>
  <c r="U37" i="3"/>
  <c r="T37" i="3"/>
  <c r="S37" i="3"/>
  <c r="A37" i="3"/>
  <c r="V36" i="3"/>
  <c r="U36" i="3"/>
  <c r="T36" i="3"/>
  <c r="S36" i="3"/>
  <c r="A36" i="3"/>
  <c r="V35" i="3"/>
  <c r="U35" i="3"/>
  <c r="T35" i="3"/>
  <c r="S35" i="3"/>
  <c r="A35" i="3"/>
  <c r="V34" i="3"/>
  <c r="U34" i="3"/>
  <c r="T34" i="3"/>
  <c r="S34" i="3"/>
  <c r="A34" i="3"/>
  <c r="V33" i="3"/>
  <c r="U33" i="3"/>
  <c r="T33" i="3"/>
  <c r="S33" i="3"/>
  <c r="A33" i="3"/>
  <c r="V32" i="3"/>
  <c r="U32" i="3"/>
  <c r="T32" i="3"/>
  <c r="S32" i="3"/>
  <c r="A32" i="3"/>
  <c r="V31" i="3"/>
  <c r="U31" i="3"/>
  <c r="T31" i="3"/>
  <c r="S31" i="3"/>
  <c r="A31" i="3"/>
  <c r="V30" i="3"/>
  <c r="U30" i="3"/>
  <c r="T30" i="3"/>
  <c r="S30" i="3"/>
  <c r="A30" i="3"/>
  <c r="V29" i="3"/>
  <c r="U29" i="3"/>
  <c r="T29" i="3"/>
  <c r="S29" i="3"/>
  <c r="A29" i="3"/>
  <c r="V28" i="3"/>
  <c r="U28" i="3"/>
  <c r="T28" i="3"/>
  <c r="S28" i="3"/>
  <c r="A28" i="3"/>
  <c r="V27" i="3"/>
  <c r="U27" i="3"/>
  <c r="T27" i="3"/>
  <c r="S27" i="3"/>
  <c r="A27" i="3"/>
  <c r="V26" i="3"/>
  <c r="U26" i="3"/>
  <c r="T26" i="3"/>
  <c r="S26" i="3"/>
  <c r="A26" i="3"/>
  <c r="V25" i="3"/>
  <c r="U25" i="3"/>
  <c r="T25" i="3"/>
  <c r="S25" i="3"/>
  <c r="A25" i="3"/>
  <c r="V24" i="3"/>
  <c r="U24" i="3"/>
  <c r="T24" i="3"/>
  <c r="S24" i="3"/>
  <c r="A24" i="3"/>
  <c r="V23" i="3"/>
  <c r="U23" i="3"/>
  <c r="T23" i="3"/>
  <c r="S23" i="3"/>
  <c r="A23" i="3"/>
  <c r="V22" i="3"/>
  <c r="U22" i="3"/>
  <c r="T22" i="3"/>
  <c r="S22" i="3"/>
  <c r="A22" i="3"/>
  <c r="V21" i="3"/>
  <c r="U21" i="3"/>
  <c r="T21" i="3"/>
  <c r="S21" i="3"/>
  <c r="A21" i="3"/>
  <c r="V20" i="3"/>
  <c r="U20" i="3"/>
  <c r="T20" i="3"/>
  <c r="S20" i="3"/>
  <c r="A20" i="3"/>
  <c r="V19" i="3"/>
  <c r="U19" i="3"/>
  <c r="T19" i="3"/>
  <c r="S19" i="3"/>
  <c r="A19" i="3"/>
  <c r="V18" i="3"/>
  <c r="U18" i="3"/>
  <c r="T18" i="3"/>
  <c r="S18" i="3"/>
  <c r="A18" i="3"/>
  <c r="V17" i="3"/>
  <c r="U17" i="3"/>
  <c r="T17" i="3"/>
  <c r="S17" i="3"/>
  <c r="A17" i="3"/>
  <c r="V16" i="3"/>
  <c r="U16" i="3"/>
  <c r="T16" i="3"/>
  <c r="S16" i="3"/>
  <c r="A16" i="3"/>
  <c r="V15" i="3"/>
  <c r="U15" i="3"/>
  <c r="T15" i="3"/>
  <c r="S15" i="3"/>
  <c r="A15" i="3"/>
  <c r="V14" i="3"/>
  <c r="U14" i="3"/>
  <c r="T14" i="3"/>
  <c r="S14" i="3"/>
  <c r="A14" i="3"/>
  <c r="BB13" i="3"/>
  <c r="AY13" i="3"/>
  <c r="AS13" i="3"/>
  <c r="AP13" i="3"/>
  <c r="AM13" i="3"/>
  <c r="AJ13" i="3"/>
  <c r="AG13" i="3"/>
  <c r="AD13" i="3"/>
  <c r="V13" i="3"/>
  <c r="U13" i="3"/>
  <c r="T13" i="3"/>
  <c r="S13" i="3"/>
  <c r="A13" i="3"/>
  <c r="BB12" i="3"/>
  <c r="AY12" i="3"/>
  <c r="AV12" i="3"/>
  <c r="AS12" i="3"/>
  <c r="AP12" i="3"/>
  <c r="AM12" i="3"/>
  <c r="AJ12" i="3"/>
  <c r="AG12" i="3"/>
  <c r="AD12" i="3"/>
  <c r="V12" i="3"/>
  <c r="U12" i="3"/>
  <c r="T12" i="3"/>
  <c r="S12" i="3"/>
  <c r="A12" i="3"/>
  <c r="BB11" i="3"/>
  <c r="AY11" i="3"/>
  <c r="AV11" i="3"/>
  <c r="AS11" i="3"/>
  <c r="AP11" i="3"/>
  <c r="AM11" i="3"/>
  <c r="AJ11" i="3"/>
  <c r="AG11" i="3"/>
  <c r="AD11" i="3"/>
  <c r="V11" i="3"/>
  <c r="U11" i="3"/>
  <c r="T11" i="3"/>
  <c r="S11" i="3"/>
  <c r="A11" i="3"/>
  <c r="BB10" i="3"/>
  <c r="AY10" i="3"/>
  <c r="AV10" i="3"/>
  <c r="AS10" i="3"/>
  <c r="AP10" i="3"/>
  <c r="AM10" i="3"/>
  <c r="AJ10" i="3"/>
  <c r="AG10" i="3"/>
  <c r="AD10" i="3"/>
  <c r="V10" i="3"/>
  <c r="U10" i="3"/>
  <c r="T10" i="3"/>
  <c r="S10" i="3"/>
  <c r="A10" i="3"/>
  <c r="BB9" i="3"/>
  <c r="AY9" i="3"/>
  <c r="AV9" i="3"/>
  <c r="AS9" i="3"/>
  <c r="AP9" i="3"/>
  <c r="AM9" i="3"/>
  <c r="AJ9" i="3"/>
  <c r="AG9" i="3"/>
  <c r="AD9" i="3"/>
  <c r="V9" i="3"/>
  <c r="U9" i="3"/>
  <c r="T9" i="3"/>
  <c r="S9" i="3"/>
  <c r="A9" i="3"/>
  <c r="V8" i="3"/>
  <c r="U8" i="3"/>
  <c r="T8" i="3"/>
  <c r="S8" i="3"/>
  <c r="A8" i="3"/>
  <c r="V7" i="3"/>
  <c r="U7" i="3"/>
  <c r="T7" i="3"/>
  <c r="S7" i="3"/>
  <c r="A7" i="3"/>
  <c r="V6" i="3"/>
  <c r="U6" i="3"/>
  <c r="T6" i="3"/>
  <c r="S6" i="3"/>
  <c r="A6" i="3"/>
  <c r="V5" i="3"/>
  <c r="U5" i="3"/>
  <c r="T5" i="3"/>
  <c r="S5" i="3"/>
  <c r="A5" i="3"/>
  <c r="V4" i="3"/>
  <c r="U4" i="3"/>
  <c r="T4" i="3"/>
  <c r="S4" i="3"/>
  <c r="A4" i="3"/>
  <c r="V3" i="3"/>
  <c r="U3" i="3"/>
  <c r="T3" i="3"/>
  <c r="S3" i="3"/>
  <c r="A3" i="3"/>
  <c r="V2" i="3"/>
  <c r="U2" i="3"/>
  <c r="T2" i="3"/>
  <c r="S2" i="3"/>
  <c r="A2" i="3"/>
  <c r="D57" i="1"/>
  <c r="B57" i="3" s="1"/>
  <c r="D56" i="1"/>
  <c r="B56" i="3" s="1"/>
  <c r="D55" i="1"/>
  <c r="B55" i="3" s="1"/>
  <c r="D54" i="1"/>
  <c r="B54" i="3" s="1"/>
  <c r="D53" i="1"/>
  <c r="B53" i="3" s="1"/>
  <c r="D52" i="1"/>
  <c r="B52" i="3" s="1"/>
  <c r="D51" i="1"/>
  <c r="B51" i="3" s="1"/>
  <c r="D50" i="1"/>
  <c r="B50" i="3" s="1"/>
  <c r="D49" i="1"/>
  <c r="B49" i="3" s="1"/>
  <c r="D48" i="1"/>
  <c r="B48" i="3" s="1"/>
  <c r="D47" i="1"/>
  <c r="B47" i="3" s="1"/>
  <c r="D46" i="1"/>
  <c r="B46" i="3" s="1"/>
  <c r="D45" i="1"/>
  <c r="B45" i="3" s="1"/>
  <c r="D44" i="1"/>
  <c r="B44" i="3" s="1"/>
  <c r="D43" i="1"/>
  <c r="B43" i="3" s="1"/>
  <c r="D42" i="1"/>
  <c r="B42" i="3" s="1"/>
  <c r="D41" i="1"/>
  <c r="B41" i="3" s="1"/>
  <c r="D40" i="1"/>
  <c r="B40" i="3" s="1"/>
  <c r="D39" i="1"/>
  <c r="B39" i="3" s="1"/>
  <c r="D38" i="1"/>
  <c r="B38" i="3" s="1"/>
  <c r="D37" i="1"/>
  <c r="B37" i="3" s="1"/>
  <c r="D36" i="1"/>
  <c r="B36" i="3" s="1"/>
  <c r="D35" i="1"/>
  <c r="B35" i="3" s="1"/>
  <c r="D34" i="1"/>
  <c r="B34" i="3" s="1"/>
  <c r="D33" i="1"/>
  <c r="B33" i="3" s="1"/>
  <c r="D32" i="1"/>
  <c r="B32" i="3" s="1"/>
  <c r="D31" i="1"/>
  <c r="B31" i="3" s="1"/>
  <c r="D30" i="1"/>
  <c r="B30" i="3" s="1"/>
  <c r="D29" i="1"/>
  <c r="B29" i="3" s="1"/>
  <c r="D28" i="1"/>
  <c r="B28" i="3" s="1"/>
  <c r="D27" i="1"/>
  <c r="B27" i="3" s="1"/>
  <c r="D26" i="1"/>
  <c r="B26" i="3" s="1"/>
  <c r="D25" i="1"/>
  <c r="B25" i="3" s="1"/>
  <c r="D24" i="1"/>
  <c r="B24" i="3" s="1"/>
  <c r="D23" i="1"/>
  <c r="B23" i="3" s="1"/>
  <c r="D22" i="1"/>
  <c r="B22" i="3" s="1"/>
  <c r="D21" i="1"/>
  <c r="B21" i="3" s="1"/>
  <c r="D20" i="1"/>
  <c r="B20" i="3" s="1"/>
  <c r="D19" i="1"/>
  <c r="B19" i="3" s="1"/>
  <c r="D18" i="1"/>
  <c r="B18" i="3" s="1"/>
  <c r="D17" i="1"/>
  <c r="B17" i="3" s="1"/>
  <c r="D16" i="1"/>
  <c r="B16" i="3" s="1"/>
  <c r="D15" i="1"/>
  <c r="B15" i="3" s="1"/>
  <c r="D14" i="1"/>
  <c r="B14" i="3" s="1"/>
  <c r="D13" i="1"/>
  <c r="B13" i="3" s="1"/>
  <c r="D12" i="1"/>
  <c r="B12" i="3" s="1"/>
  <c r="D11" i="1"/>
  <c r="B11" i="3" s="1"/>
  <c r="D10" i="1"/>
  <c r="B10" i="3" s="1"/>
  <c r="D9" i="1"/>
  <c r="B9" i="3" s="1"/>
  <c r="D8" i="1"/>
  <c r="B8" i="3" s="1"/>
  <c r="D7" i="1"/>
  <c r="B7" i="3" s="1"/>
  <c r="D6" i="1"/>
  <c r="B6" i="3" s="1"/>
  <c r="D5" i="1"/>
  <c r="B5" i="3" s="1"/>
  <c r="D4" i="1"/>
  <c r="B4" i="3" s="1"/>
  <c r="D3" i="1"/>
  <c r="B3" i="3" s="1"/>
  <c r="D2" i="1"/>
  <c r="B2" i="3" s="1"/>
  <c r="E9" i="3" l="1"/>
  <c r="H9" i="3"/>
  <c r="H10" i="3"/>
  <c r="AB10" i="3"/>
  <c r="E11" i="3"/>
  <c r="H11" i="3"/>
  <c r="E12" i="3"/>
  <c r="AB12" i="3"/>
  <c r="H14" i="3"/>
  <c r="AB14" i="3"/>
  <c r="H15" i="3"/>
  <c r="E2" i="3"/>
  <c r="AB9" i="3"/>
  <c r="E10" i="3"/>
  <c r="AB11" i="3"/>
  <c r="H12" i="3"/>
  <c r="E13" i="3"/>
  <c r="H13" i="3"/>
  <c r="AB13" i="3"/>
  <c r="AB15" i="3"/>
  <c r="H16" i="3"/>
  <c r="AB16" i="3"/>
  <c r="E3" i="3" l="1"/>
  <c r="K10" i="3"/>
  <c r="K12" i="3"/>
  <c r="N12" i="3"/>
  <c r="K13" i="3"/>
  <c r="N13" i="3"/>
  <c r="E18" i="3"/>
  <c r="AE9" i="3" s="1"/>
  <c r="H18" i="3"/>
  <c r="AH9" i="3" s="1"/>
  <c r="K18" i="3"/>
  <c r="AW9" i="3" s="1"/>
  <c r="N18" i="3"/>
  <c r="AZ9" i="3" s="1"/>
  <c r="Q18" i="3"/>
  <c r="BC9" i="3" s="1"/>
  <c r="E19" i="3"/>
  <c r="AE10" i="3" s="1"/>
  <c r="H19" i="3"/>
  <c r="AH10" i="3" s="1"/>
  <c r="K19" i="3"/>
  <c r="AW10" i="3" s="1"/>
  <c r="N19" i="3"/>
  <c r="AZ10" i="3" s="1"/>
  <c r="Q19" i="3"/>
  <c r="BC10" i="3" s="1"/>
  <c r="E20" i="3"/>
  <c r="AE11" i="3" s="1"/>
  <c r="H20" i="3"/>
  <c r="AH11" i="3" s="1"/>
  <c r="K20" i="3"/>
  <c r="AW11" i="3" s="1"/>
  <c r="N20" i="3"/>
  <c r="AZ11" i="3" s="1"/>
  <c r="Q20" i="3"/>
  <c r="BC11" i="3" s="1"/>
  <c r="E21" i="3"/>
  <c r="AE12" i="3" s="1"/>
  <c r="H21" i="3"/>
  <c r="AH12" i="3" s="1"/>
  <c r="K21" i="3"/>
  <c r="AW12" i="3" s="1"/>
  <c r="N21" i="3"/>
  <c r="AZ12" i="3" s="1"/>
  <c r="Q21" i="3"/>
  <c r="BC12" i="3" s="1"/>
  <c r="E4" i="3"/>
  <c r="E5" i="3"/>
  <c r="K9" i="3"/>
  <c r="N9" i="3"/>
  <c r="N10" i="3"/>
  <c r="K11" i="3"/>
  <c r="N11" i="3"/>
  <c r="K14" i="3"/>
  <c r="N14" i="3"/>
  <c r="E22" i="3"/>
  <c r="AE13" i="3" s="1"/>
  <c r="H22" i="3"/>
  <c r="AH13" i="3" s="1"/>
  <c r="N22" i="3"/>
  <c r="AZ13" i="3" s="1"/>
  <c r="Q22" i="3"/>
  <c r="BC13" i="3" s="1"/>
  <c r="E27" i="3"/>
  <c r="AK9" i="3" s="1"/>
  <c r="H27" i="3"/>
  <c r="AN9" i="3" s="1"/>
  <c r="K27" i="3"/>
  <c r="AQ9" i="3" s="1"/>
  <c r="N27" i="3"/>
  <c r="AT9" i="3" s="1"/>
  <c r="Q27" i="3"/>
  <c r="Y27" i="3"/>
  <c r="E28" i="3"/>
  <c r="AK10" i="3" s="1"/>
  <c r="H28" i="3"/>
  <c r="AN10" i="3" s="1"/>
  <c r="K28" i="3"/>
  <c r="AQ10" i="3" s="1"/>
  <c r="N28" i="3"/>
  <c r="AT10" i="3" s="1"/>
  <c r="Q28" i="3"/>
  <c r="Y28" i="3"/>
  <c r="E29" i="3"/>
  <c r="AK11" i="3" s="1"/>
  <c r="Y29" i="3"/>
  <c r="E30" i="3"/>
  <c r="AK12" i="3" s="1"/>
  <c r="H30" i="3"/>
  <c r="AN12" i="3" s="1"/>
  <c r="K30" i="3"/>
  <c r="AQ12" i="3" s="1"/>
  <c r="N30" i="3"/>
  <c r="AT12" i="3" s="1"/>
  <c r="Q30" i="3"/>
  <c r="Q32" i="3"/>
  <c r="H29" i="3"/>
  <c r="AN11" i="3" s="1"/>
  <c r="K29" i="3"/>
  <c r="AQ11" i="3" s="1"/>
  <c r="N29" i="3"/>
  <c r="AT11" i="3" s="1"/>
  <c r="Q29" i="3"/>
  <c r="Y30" i="3"/>
  <c r="E31" i="3"/>
  <c r="AK13" i="3" s="1"/>
  <c r="H31" i="3"/>
  <c r="AN13" i="3" s="1"/>
  <c r="K31" i="3"/>
  <c r="AQ13" i="3" s="1"/>
  <c r="N31" i="3"/>
  <c r="AT13" i="3" s="1"/>
  <c r="Q31" i="3"/>
</calcChain>
</file>

<file path=xl/sharedStrings.xml><?xml version="1.0" encoding="utf-8"?>
<sst xmlns="http://schemas.openxmlformats.org/spreadsheetml/2006/main" count="2311" uniqueCount="285">
  <si>
    <t>Facultad</t>
  </si>
  <si>
    <t>Año de ingreso</t>
  </si>
  <si>
    <t>Frecuencia de uso</t>
  </si>
  <si>
    <t>Respuestas</t>
  </si>
  <si>
    <t>Satisfacción positiva</t>
  </si>
  <si>
    <t>Percibe mejora en sus trabajos</t>
  </si>
  <si>
    <t>Situaciones experimentadas</t>
  </si>
  <si>
    <t>ID</t>
  </si>
  <si>
    <t>Nombre completo</t>
  </si>
  <si>
    <t>Número de carnet</t>
  </si>
  <si>
    <t>Frecuencia de uso de IA</t>
  </si>
  <si>
    <t>ChatGPT</t>
  </si>
  <si>
    <t>Copilot</t>
  </si>
  <si>
    <t>Gemini</t>
  </si>
  <si>
    <t>Grok</t>
  </si>
  <si>
    <t>Deepseek</t>
  </si>
  <si>
    <t>Otra IA</t>
  </si>
  <si>
    <t>Horas semanales de IA</t>
  </si>
  <si>
    <t>Frecuencia - Explicar un concepto</t>
  </si>
  <si>
    <t>Frecuencia - Resumir un artículo</t>
  </si>
  <si>
    <t>Frecuencia - Ideas para investigación</t>
  </si>
  <si>
    <t>Frecuencia - Estructurar ideas</t>
  </si>
  <si>
    <t>Frecuencia - Generar y editar texto</t>
  </si>
  <si>
    <t>Frecuencia - Apoyos visuales</t>
  </si>
  <si>
    <t>Aceptabilidad - Explicar un concepto</t>
  </si>
  <si>
    <t>Aceptabilidad - Resumir un artículo</t>
  </si>
  <si>
    <t>Aceptabilidad - Ideas para investigación</t>
  </si>
  <si>
    <t>Aceptabilidad - Estructurar ideas</t>
  </si>
  <si>
    <t>Aceptabilidad - Generar y editar texto</t>
  </si>
  <si>
    <t>Aceptabilidad - Apoyos visuales</t>
  </si>
  <si>
    <t>Ranking de razones</t>
  </si>
  <si>
    <t>Razón principal</t>
  </si>
  <si>
    <t>IA ayuda a entender temas complejos</t>
  </si>
  <si>
    <t>Facilidad de uso de IA</t>
  </si>
  <si>
    <t>Confianza en resultados</t>
  </si>
  <si>
    <t>Intención de seguir usando IA</t>
  </si>
  <si>
    <t>Satisfacción general</t>
  </si>
  <si>
    <t>Influencia principal</t>
  </si>
  <si>
    <t>Percepción de política universitaria</t>
  </si>
  <si>
    <t>Verificación de información</t>
  </si>
  <si>
    <t>Cambio percibido en calidad</t>
  </si>
  <si>
    <t>Conciencia de riesgos</t>
  </si>
  <si>
    <t>Disposición a capacitación</t>
  </si>
  <si>
    <t>Preocupación principal</t>
  </si>
  <si>
    <t>Emileny Isabel Mazariegos Zepeda</t>
  </si>
  <si>
    <t>Ingeniería</t>
  </si>
  <si>
    <t>Semanalmente</t>
  </si>
  <si>
    <t>Mensual</t>
  </si>
  <si>
    <t>Rara vez</t>
  </si>
  <si>
    <t>Semanal</t>
  </si>
  <si>
    <t>Nunca</t>
  </si>
  <si>
    <t>Menos de 1 hora</t>
  </si>
  <si>
    <t>Frecuentemente</t>
  </si>
  <si>
    <t>Algunas veces</t>
  </si>
  <si>
    <t>Totalmente aceptable</t>
  </si>
  <si>
    <t>Neutral</t>
  </si>
  <si>
    <t>Aceptable</t>
  </si>
  <si>
    <t>Para obtener mejores notas o rendir mejor;Para entender material complejo;Para ahorrar tiempo en tareas;Para prepararme para mi futura carrera;</t>
  </si>
  <si>
    <t>Para obtener mejores notas o rendir mejor</t>
  </si>
  <si>
    <t>Totalmente de acuerdo</t>
  </si>
  <si>
    <t>De acuerdo</t>
  </si>
  <si>
    <t>En desacuerdo</t>
  </si>
  <si>
    <t>Siento que dependo de la IA para producir un mejor trabajo;</t>
  </si>
  <si>
    <t>Influencia de compañeros de estudio</t>
  </si>
  <si>
    <t>Se anima a usarla, pero con límites claros</t>
  </si>
  <si>
    <t>Ha mejorado algo</t>
  </si>
  <si>
    <t>Consciente</t>
  </si>
  <si>
    <t>Poco dispuesto</t>
  </si>
  <si>
    <t>Que afecte mi aprendizaje</t>
  </si>
  <si>
    <t>Pablo Esteban Oliva Morales</t>
  </si>
  <si>
    <t>1076726</t>
  </si>
  <si>
    <t>A diario</t>
  </si>
  <si>
    <t>Diario</t>
  </si>
  <si>
    <t>Más de 10 horas</t>
  </si>
  <si>
    <t>Siempre</t>
  </si>
  <si>
    <t>Para ahorrar tiempo en tareas;Para obtener mejores notas o rendir mejor;Para prepararme para mi futura carrera;Para entender material complejo;</t>
  </si>
  <si>
    <t>Para ahorrar tiempo en tareas</t>
  </si>
  <si>
    <t>Me resulta más difícil trabajar o estudiar sin usar IA;Siento que dependo de la IA para producir un mejor trabajo;</t>
  </si>
  <si>
    <t>Decisión propia</t>
  </si>
  <si>
    <t>Se desalienta, permitida en pocos casos</t>
  </si>
  <si>
    <t>Ha mejorado mucho</t>
  </si>
  <si>
    <t>Carlos Andrés Pérez Castañeda</t>
  </si>
  <si>
    <t>1224025</t>
  </si>
  <si>
    <t>3 a 6 horas</t>
  </si>
  <si>
    <t>Para entender material complejo;Para obtener mejores notas o rendir mejor;Para ahorrar tiempo en tareas;Para prepararme para mi futura carrera;</t>
  </si>
  <si>
    <t>Para entender material complejo</t>
  </si>
  <si>
    <t>Moderadamente consciente</t>
  </si>
  <si>
    <t>Hans Dieter Majus Arévalo</t>
  </si>
  <si>
    <t>1025626</t>
  </si>
  <si>
    <t>1 a 3 horas</t>
  </si>
  <si>
    <t>Para entender material complejo;Para ahorrar tiempo en tareas;Para obtener mejores notas o rendir mejor;Para prepararme para mi futura carrera;</t>
  </si>
  <si>
    <t>No he experimentado ninguna de estas situaciones;</t>
  </si>
  <si>
    <t>Muy consciente</t>
  </si>
  <si>
    <t>No tengo ninguna preocupación</t>
  </si>
  <si>
    <t>María Fernanda Castillo Rodríguez</t>
  </si>
  <si>
    <t>1268226</t>
  </si>
  <si>
    <t>Humanidades</t>
  </si>
  <si>
    <t>Poco aceptable</t>
  </si>
  <si>
    <t>No ha cambiado</t>
  </si>
  <si>
    <t>Que la información proporcionada sea incorrecta</t>
  </si>
  <si>
    <t>Julio José Laynez Muñiz</t>
  </si>
  <si>
    <t>1318024</t>
  </si>
  <si>
    <t>Para entender material complejo;Para ahorrar tiempo en tareas;Para prepararme para mi futura carrera;Para obtener mejores notas o rendir mejor;</t>
  </si>
  <si>
    <t>Me resulta más difícil trabajar o estudiar sin usar IA;Siento que retengo menos información cuando uso IA para resolver algo;</t>
  </si>
  <si>
    <t>Sugerencia de un catedrático</t>
  </si>
  <si>
    <t>Está prohibida por completo</t>
  </si>
  <si>
    <t>María Renee Girón</t>
  </si>
  <si>
    <t>1293926</t>
  </si>
  <si>
    <t>Totalmente inaceptable</t>
  </si>
  <si>
    <t>Muy dispuesto</t>
  </si>
  <si>
    <t>Depender demasiado de la IA</t>
  </si>
  <si>
    <t>Christopher André Ramos Samayoa</t>
  </si>
  <si>
    <t>1025426</t>
  </si>
  <si>
    <t>Para entender material complejo;Para prepararme para mi futura carrera;Para ahorrar tiempo en tareas;Para obtener mejores notas o rendir mejor;</t>
  </si>
  <si>
    <t>Benjamín Alejandro Marroquín Rojas</t>
  </si>
  <si>
    <t>1059225</t>
  </si>
  <si>
    <t>Samuel Esteban Picón Choc</t>
  </si>
  <si>
    <t>1308426</t>
  </si>
  <si>
    <t>Para ahorrar tiempo en tareas;Para entender material complejo;Para obtener mejores notas o rendir mejor;Para prepararme para mi futura carrera;</t>
  </si>
  <si>
    <t>Siento que dependo de la IA para producir un mejor trabajo;Siento que retengo menos información cuando uso IA para resolver algo;</t>
  </si>
  <si>
    <t>No sé cuál es la política de mi universidad</t>
  </si>
  <si>
    <t>Incumplir las reglas de un curso o trabajo</t>
  </si>
  <si>
    <t>Diana Paola Sandoval Pacheco</t>
  </si>
  <si>
    <t>2984426</t>
  </si>
  <si>
    <t>Dispuesto</t>
  </si>
  <si>
    <t>Camila De León Rivera</t>
  </si>
  <si>
    <t>1114426</t>
  </si>
  <si>
    <t>Mensualmente</t>
  </si>
  <si>
    <t>Para entender material complejo;Para obtener mejores notas o rendir mejor;Para prepararme para mi futura carrera;Para ahorrar tiempo en tareas;</t>
  </si>
  <si>
    <t>Me resulta más difícil trabajar o estudiar sin usar IA;</t>
  </si>
  <si>
    <t>Jose Manuel Morales Perez</t>
  </si>
  <si>
    <t>1066422</t>
  </si>
  <si>
    <t>Diego José López López</t>
  </si>
  <si>
    <t>1069322</t>
  </si>
  <si>
    <t>Se anima a usarla lo más posible</t>
  </si>
  <si>
    <t>Jose andres Ordoñez</t>
  </si>
  <si>
    <t>1087322</t>
  </si>
  <si>
    <t>Para prepararme para mi futura carrera;Para entender material complejo;Para ahorrar tiempo en tareas;Para obtener mejores notas o rendir mejor;</t>
  </si>
  <si>
    <t>Para prepararme para mi futura carrera</t>
  </si>
  <si>
    <t>Sara Emperatriz Ortíz Campos</t>
  </si>
  <si>
    <t>122423</t>
  </si>
  <si>
    <t>Para ahorrar tiempo en tareas;Para obtener mejores notas o rendir mejor;Para entender material complejo;Para prepararme para mi futura carrera;</t>
  </si>
  <si>
    <t>Diego Caal</t>
  </si>
  <si>
    <t>Para ahorrar tiempo en tareas;Para entender material complejo;Para prepararme para mi futura carrera;Para obtener mejores notas o rendir mejor;</t>
  </si>
  <si>
    <t>Totalmente en desacuerdo</t>
  </si>
  <si>
    <t>Siento que retengo menos información cuando uso IA para resolver algo;</t>
  </si>
  <si>
    <t>Allison Fuentes</t>
  </si>
  <si>
    <t>1084723</t>
  </si>
  <si>
    <t>Pamela Díaz</t>
  </si>
  <si>
    <t>1106922</t>
  </si>
  <si>
    <t>6 a 10 horas</t>
  </si>
  <si>
    <t>Sharon Cienfuegos</t>
  </si>
  <si>
    <t>1253221</t>
  </si>
  <si>
    <t>Carolina Cienfuegos</t>
  </si>
  <si>
    <t>1353225</t>
  </si>
  <si>
    <t>Nada dispuesto</t>
  </si>
  <si>
    <t>Rolando Javier Espinoza Del Cid</t>
  </si>
  <si>
    <t>2285019</t>
  </si>
  <si>
    <t>Rara vez (algunas veces al mes)</t>
  </si>
  <si>
    <t>Requisito de un curso o trabajo</t>
  </si>
  <si>
    <t>Ana Mayra Godinez</t>
  </si>
  <si>
    <t>1279024</t>
  </si>
  <si>
    <t>Ha empeorado algo</t>
  </si>
  <si>
    <t>Allan Leonel Rojas Cortave</t>
  </si>
  <si>
    <t>1100121</t>
  </si>
  <si>
    <t>Poco consciente</t>
  </si>
  <si>
    <t>Natalia Moscoso</t>
  </si>
  <si>
    <t>Otro</t>
  </si>
  <si>
    <t>Pilar Coronado</t>
  </si>
  <si>
    <t>Me resulta más difícil trabajar o estudiar sin usar IA;Siento que dependo de la IA para producir un mejor trabajo;Siento que retengo menos información cuando uso IA para resolver algo;</t>
  </si>
  <si>
    <t>José Mauricio Salazar Iguardia</t>
  </si>
  <si>
    <t>1153026</t>
  </si>
  <si>
    <t>Siento que dependo de la IA para producir un mejor trabajo;Me resulta más difícil trabajar o estudiar sin usar IA;</t>
  </si>
  <si>
    <t>Yelsi Yuleidi Chilel Gabriel</t>
  </si>
  <si>
    <t>1245623</t>
  </si>
  <si>
    <t>Marcela Meléndez</t>
  </si>
  <si>
    <t>1157722</t>
  </si>
  <si>
    <t>Yuliana Maria Luna Ruiz Morales</t>
  </si>
  <si>
    <t>1322525</t>
  </si>
  <si>
    <t>Juan Ramón Delgado Juárez</t>
  </si>
  <si>
    <t>1006522</t>
  </si>
  <si>
    <t>André Diaz Barrera</t>
  </si>
  <si>
    <t>1262121</t>
  </si>
  <si>
    <t>Alicia Fortùn de Leòn</t>
  </si>
  <si>
    <t>1097422</t>
  </si>
  <si>
    <t>Siento que retengo menos información cuando uso IA para resolver algo;Me resulta más difícil trabajar o estudiar sin usar IA;</t>
  </si>
  <si>
    <t>Karina Pérez García</t>
  </si>
  <si>
    <t>1155917</t>
  </si>
  <si>
    <t>Roberto Pivaral Chuy</t>
  </si>
  <si>
    <t>1167321</t>
  </si>
  <si>
    <t>Helen Villeda</t>
  </si>
  <si>
    <t>2430921</t>
  </si>
  <si>
    <t>Ximena Quan</t>
  </si>
  <si>
    <t>1138224</t>
  </si>
  <si>
    <t>Jeaneth Reyes Darlin</t>
  </si>
  <si>
    <t>1265024</t>
  </si>
  <si>
    <t>Adriana Rivera Díaz</t>
  </si>
  <si>
    <t>1176924</t>
  </si>
  <si>
    <t>Andrés Romero González</t>
  </si>
  <si>
    <t>1297224</t>
  </si>
  <si>
    <t>José Rosales</t>
  </si>
  <si>
    <t>1173824</t>
  </si>
  <si>
    <t>Alejandro Ruiz</t>
  </si>
  <si>
    <t>1282924</t>
  </si>
  <si>
    <t>Andrés Ruíz Poggio</t>
  </si>
  <si>
    <t>1199124</t>
  </si>
  <si>
    <t>María Isabel González</t>
  </si>
  <si>
    <t>1091922</t>
  </si>
  <si>
    <t>Angel Altan</t>
  </si>
  <si>
    <t>1031222</t>
  </si>
  <si>
    <t>Para entender material complejo;Para prepararme para mi futura carrera;Para obtener mejores notas o rendir mejor;Para ahorrar tiempo en tareas;</t>
  </si>
  <si>
    <t>Mauricio Enrique Cabrera Girón</t>
  </si>
  <si>
    <t>1073323</t>
  </si>
  <si>
    <t>Dennis Bland</t>
  </si>
  <si>
    <t>2160422</t>
  </si>
  <si>
    <t>Juan Acosta</t>
  </si>
  <si>
    <t>2061723</t>
  </si>
  <si>
    <t>El costo de algunas herramientas</t>
  </si>
  <si>
    <t>Jose Morales</t>
  </si>
  <si>
    <t>2187123</t>
  </si>
  <si>
    <t>Pamela Melini</t>
  </si>
  <si>
    <t>Antonio Lopez</t>
  </si>
  <si>
    <t>1073522</t>
  </si>
  <si>
    <t>Ricardo Castañeda</t>
  </si>
  <si>
    <t>1174822</t>
  </si>
  <si>
    <t>Jose Pablo Morales</t>
  </si>
  <si>
    <t>1268222</t>
  </si>
  <si>
    <t>Jimena Solis</t>
  </si>
  <si>
    <t>1053122</t>
  </si>
  <si>
    <t>Pablo Liquidano</t>
  </si>
  <si>
    <t>1151322</t>
  </si>
  <si>
    <t>Daniel Paz</t>
  </si>
  <si>
    <t>1200022</t>
  </si>
  <si>
    <t>Incluido por filtros</t>
  </si>
  <si>
    <t>KPI</t>
  </si>
  <si>
    <t>Valor</t>
  </si>
  <si>
    <t>Dificultad sin IA</t>
  </si>
  <si>
    <t>Menor retención</t>
  </si>
  <si>
    <t>Dependencia</t>
  </si>
  <si>
    <t>Ninguna</t>
  </si>
  <si>
    <t>Respuestas filtradas</t>
  </si>
  <si>
    <t>Uso diario</t>
  </si>
  <si>
    <t>Intención de continuar</t>
  </si>
  <si>
    <t>Frecuencia</t>
  </si>
  <si>
    <t>Herramienta</t>
  </si>
  <si>
    <t>% uso reportado</t>
  </si>
  <si>
    <t>Actividad</t>
  </si>
  <si>
    <t>% aceptable</t>
  </si>
  <si>
    <t>Percepción</t>
  </si>
  <si>
    <t>%</t>
  </si>
  <si>
    <t>Horas por semana</t>
  </si>
  <si>
    <t>Verificación</t>
  </si>
  <si>
    <t>Cambio de calidad</t>
  </si>
  <si>
    <t>Capacitación</t>
  </si>
  <si>
    <t>Situaciones</t>
  </si>
  <si>
    <t>Influencia</t>
  </si>
  <si>
    <t>Política</t>
  </si>
  <si>
    <t>Explicar conceptos</t>
  </si>
  <si>
    <t>Resumir artículos</t>
  </si>
  <si>
    <t>Ideas investigación</t>
  </si>
  <si>
    <t>Estructurar ideas</t>
  </si>
  <si>
    <t>Generar/editar texto</t>
  </si>
  <si>
    <t>Apoyos visuales</t>
  </si>
  <si>
    <t>% de acuerdo</t>
  </si>
  <si>
    <t>% respuestas</t>
  </si>
  <si>
    <t>Situación</t>
  </si>
  <si>
    <t>Percepción de política</t>
  </si>
  <si>
    <t>Ayuda a entender temas complejos</t>
  </si>
  <si>
    <t>Dificultad para trabajar/estudiar sin IA</t>
  </si>
  <si>
    <t>Es fácil de usar</t>
  </si>
  <si>
    <t>Menor retención de información</t>
  </si>
  <si>
    <t>Confío en sus resultados</t>
  </si>
  <si>
    <t>Dependencia para producir mejor trabajo</t>
  </si>
  <si>
    <t>Planeo seguir usándola</t>
  </si>
  <si>
    <t>Ninguna de las anteriores</t>
  </si>
  <si>
    <t>Estoy satisfecho con su uso</t>
  </si>
  <si>
    <t>Respuesta</t>
  </si>
  <si>
    <t>Nuevo indicador</t>
  </si>
  <si>
    <t>Verifica siempre/frecuentemente</t>
  </si>
  <si>
    <t>Consciente/muy consciente de riesgos</t>
  </si>
  <si>
    <t>Dispuesto/muy dispuesto a capacitación</t>
  </si>
  <si>
    <t>Ha empeorado mucho</t>
  </si>
  <si>
    <t>Nada consciente</t>
  </si>
  <si>
    <t>Todos</t>
  </si>
  <si>
    <t>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</si>
</sst>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9"/>
      <color rgb="FFFFFFFF"/>
      <name val="Carlito"/>
    </font>
    <font>
      <sz val="9"/>
      <color rgb="FF303846"/>
      <name val="Carlito"/>
    </font>
    <font>
      <b/>
      <sz val="11"/>
      <color rgb="FFFFFFFF"/>
      <name val="Carlito"/>
    </font>
    <font>
      <b/>
      <sz val="9"/>
      <color rgb="FF1F2937"/>
      <name val="Carlito"/>
    </font>
    <font>
      <sz val="8"/>
      <color rgb="FF373A3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9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9" fontId="0" fillId="0" borderId="0" xfId="0" applyNumberFormat="1"/>
    <xf numFmtId="0" fontId="4" fillId="3" borderId="0" xfId="0" applyFont="1" applyFill="1"/>
    <xf numFmtId="1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puestasIA" displayName="RespuestasIA" ref="A1:AN57" totalsRowShown="0">
  <tableColumns count="40">
    <tableColumn id="1" xr3:uid="{00000000-0010-0000-0000-000001000000}" name="ID"/>
    <tableColumn id="2" xr3:uid="{00000000-0010-0000-0000-000002000000}" name="Nombre completo"/>
    <tableColumn id="3" xr3:uid="{00000000-0010-0000-0000-000003000000}" name="Número de carnet"/>
    <tableColumn id="4" xr3:uid="{00000000-0010-0000-0000-000004000000}" name="Año de ingreso"/>
    <tableColumn id="5" xr3:uid="{00000000-0010-0000-0000-000005000000}" name="Facultad"/>
    <tableColumn id="6" xr3:uid="{00000000-0010-0000-0000-000006000000}" name="Frecuencia de uso de IA"/>
    <tableColumn id="7" xr3:uid="{00000000-0010-0000-0000-000007000000}" name="ChatGPT"/>
    <tableColumn id="8" xr3:uid="{00000000-0010-0000-0000-000008000000}" name="Copilot"/>
    <tableColumn id="9" xr3:uid="{00000000-0010-0000-0000-000009000000}" name="Gemini"/>
    <tableColumn id="10" xr3:uid="{00000000-0010-0000-0000-00000A000000}" name="Grok"/>
    <tableColumn id="11" xr3:uid="{00000000-0010-0000-0000-00000B000000}" name="Deepseek"/>
    <tableColumn id="12" xr3:uid="{00000000-0010-0000-0000-00000C000000}" name="Otra IA"/>
    <tableColumn id="13" xr3:uid="{00000000-0010-0000-0000-00000D000000}" name="Horas semanales de IA"/>
    <tableColumn id="14" xr3:uid="{00000000-0010-0000-0000-00000E000000}" name="Frecuencia - Explicar un concepto"/>
    <tableColumn id="15" xr3:uid="{00000000-0010-0000-0000-00000F000000}" name="Frecuencia - Resumir un artículo"/>
    <tableColumn id="16" xr3:uid="{00000000-0010-0000-0000-000010000000}" name="Frecuencia - Ideas para investigación"/>
    <tableColumn id="17" xr3:uid="{00000000-0010-0000-0000-000011000000}" name="Frecuencia - Estructurar ideas"/>
    <tableColumn id="18" xr3:uid="{00000000-0010-0000-0000-000012000000}" name="Frecuencia - Generar y editar texto"/>
    <tableColumn id="19" xr3:uid="{00000000-0010-0000-0000-000013000000}" name="Frecuencia - Apoyos visuales"/>
    <tableColumn id="20" xr3:uid="{00000000-0010-0000-0000-000014000000}" name="Aceptabilidad - Explicar un concepto"/>
    <tableColumn id="21" xr3:uid="{00000000-0010-0000-0000-000015000000}" name="Aceptabilidad - Resumir un artículo"/>
    <tableColumn id="22" xr3:uid="{00000000-0010-0000-0000-000016000000}" name="Aceptabilidad - Ideas para investigación"/>
    <tableColumn id="23" xr3:uid="{00000000-0010-0000-0000-000017000000}" name="Aceptabilidad - Estructurar ideas"/>
    <tableColumn id="24" xr3:uid="{00000000-0010-0000-0000-000018000000}" name="Aceptabilidad - Generar y editar texto"/>
    <tableColumn id="25" xr3:uid="{00000000-0010-0000-0000-000019000000}" name="Aceptabilidad - Apoyos visuales"/>
    <tableColumn id="26" xr3:uid="{00000000-0010-0000-0000-00001A000000}" name="Ranking de razones"/>
    <tableColumn id="27" xr3:uid="{00000000-0010-0000-0000-00001B000000}" name="Razón principal"/>
    <tableColumn id="28" xr3:uid="{00000000-0010-0000-0000-00001C000000}" name="IA ayuda a entender temas complejos"/>
    <tableColumn id="29" xr3:uid="{00000000-0010-0000-0000-00001D000000}" name="Facilidad de uso de IA"/>
    <tableColumn id="30" xr3:uid="{00000000-0010-0000-0000-00001E000000}" name="Confianza en resultados"/>
    <tableColumn id="31" xr3:uid="{00000000-0010-0000-0000-00001F000000}" name="Intención de seguir usando IA"/>
    <tableColumn id="32" xr3:uid="{00000000-0010-0000-0000-000020000000}" name="Satisfacción general"/>
    <tableColumn id="33" xr3:uid="{00000000-0010-0000-0000-000021000000}" name="Situaciones experimentadas"/>
    <tableColumn id="34" xr3:uid="{00000000-0010-0000-0000-000022000000}" name="Influencia principal"/>
    <tableColumn id="35" xr3:uid="{00000000-0010-0000-0000-000023000000}" name="Percepción de política universitaria"/>
    <tableColumn id="36" xr3:uid="{00000000-0010-0000-0000-000024000000}" name="Verificación de información"/>
    <tableColumn id="37" xr3:uid="{00000000-0010-0000-0000-000025000000}" name="Cambio percibido en calidad"/>
    <tableColumn id="38" xr3:uid="{00000000-0010-0000-0000-000026000000}" name="Conciencia de riesgos"/>
    <tableColumn id="39" xr3:uid="{00000000-0010-0000-0000-000027000000}" name="Disposición a capacitación"/>
    <tableColumn id="40" xr3:uid="{00000000-0010-0000-0000-000028000000}" name="Preocupación princi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7"/>
  <sheetViews>
    <sheetView tabSelected="1" workbookViewId="0"/>
  </sheetViews>
  <sheetFormatPr baseColWidth="10" defaultColWidth="8.796875" defaultRowHeight="13.8"/>
  <cols>
    <col min="1" max="1" width="7" style="4" customWidth="1"/>
    <col min="2" max="2" width="28" style="4" customWidth="1"/>
    <col min="3" max="3" width="14" style="4" customWidth="1"/>
    <col min="4" max="6" width="17" style="4" customWidth="1"/>
    <col min="7" max="12" width="12" style="4" customWidth="1"/>
    <col min="13" max="25" width="22" style="4" customWidth="1"/>
    <col min="26" max="40" width="28" style="4" customWidth="1"/>
    <col min="41" max="16384" width="8.796875" style="4"/>
  </cols>
  <sheetData>
    <row r="1" spans="1:40" ht="18.3" customHeight="1">
      <c r="A1" s="5" t="s">
        <v>7</v>
      </c>
      <c r="B1" s="5" t="s">
        <v>8</v>
      </c>
      <c r="C1" s="5" t="s">
        <v>9</v>
      </c>
      <c r="D1" s="5" t="s">
        <v>1</v>
      </c>
      <c r="E1" s="5" t="s">
        <v>0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</row>
    <row r="2" spans="1:40" ht="57">
      <c r="A2" s="10">
        <v>14</v>
      </c>
      <c r="B2" s="10" t="s">
        <v>44</v>
      </c>
      <c r="C2" s="10">
        <v>1200723</v>
      </c>
      <c r="D2" s="10">
        <f t="shared" ref="D2:D33" si="0">IFERROR(2000+VALUE(RIGHT(C2,2)),"Sin dato")</f>
        <v>2023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  <c r="J2" s="10" t="s">
        <v>50</v>
      </c>
      <c r="K2" s="10" t="s">
        <v>50</v>
      </c>
      <c r="L2" s="10" t="s">
        <v>49</v>
      </c>
      <c r="M2" s="10" t="s">
        <v>51</v>
      </c>
      <c r="N2" s="10" t="s">
        <v>52</v>
      </c>
      <c r="O2" s="10" t="s">
        <v>52</v>
      </c>
      <c r="P2" s="10" t="s">
        <v>48</v>
      </c>
      <c r="Q2" s="10" t="s">
        <v>53</v>
      </c>
      <c r="R2" s="10" t="s">
        <v>53</v>
      </c>
      <c r="S2" s="10" t="s">
        <v>48</v>
      </c>
      <c r="T2" s="10" t="s">
        <v>54</v>
      </c>
      <c r="U2" s="10" t="s">
        <v>54</v>
      </c>
      <c r="V2" s="10" t="s">
        <v>55</v>
      </c>
      <c r="W2" s="10" t="s">
        <v>55</v>
      </c>
      <c r="X2" s="10" t="s">
        <v>55</v>
      </c>
      <c r="Y2" s="10" t="s">
        <v>56</v>
      </c>
      <c r="Z2" s="11" t="s">
        <v>57</v>
      </c>
      <c r="AA2" s="11" t="s">
        <v>58</v>
      </c>
      <c r="AB2" s="11" t="s">
        <v>59</v>
      </c>
      <c r="AC2" s="11" t="s">
        <v>60</v>
      </c>
      <c r="AD2" s="11" t="s">
        <v>61</v>
      </c>
      <c r="AE2" s="11" t="s">
        <v>60</v>
      </c>
      <c r="AF2" s="11" t="s">
        <v>60</v>
      </c>
      <c r="AG2" s="11" t="s">
        <v>62</v>
      </c>
      <c r="AH2" s="11" t="s">
        <v>63</v>
      </c>
      <c r="AI2" s="11" t="s">
        <v>64</v>
      </c>
      <c r="AJ2" s="11" t="s">
        <v>52</v>
      </c>
      <c r="AK2" s="11" t="s">
        <v>65</v>
      </c>
      <c r="AL2" s="11" t="s">
        <v>66</v>
      </c>
      <c r="AM2" s="11" t="s">
        <v>67</v>
      </c>
      <c r="AN2" s="11" t="s">
        <v>68</v>
      </c>
    </row>
    <row r="3" spans="1:40" ht="45.6">
      <c r="A3" s="10">
        <v>15</v>
      </c>
      <c r="B3" s="10" t="s">
        <v>69</v>
      </c>
      <c r="C3" s="10" t="s">
        <v>70</v>
      </c>
      <c r="D3" s="10">
        <f t="shared" si="0"/>
        <v>2026</v>
      </c>
      <c r="E3" s="10" t="s">
        <v>45</v>
      </c>
      <c r="F3" s="10" t="s">
        <v>71</v>
      </c>
      <c r="G3" s="10" t="s">
        <v>49</v>
      </c>
      <c r="H3" s="10" t="s">
        <v>50</v>
      </c>
      <c r="I3" s="10" t="s">
        <v>72</v>
      </c>
      <c r="J3" s="10" t="s">
        <v>50</v>
      </c>
      <c r="K3" s="10" t="s">
        <v>49</v>
      </c>
      <c r="L3" s="10" t="s">
        <v>72</v>
      </c>
      <c r="M3" s="10" t="s">
        <v>73</v>
      </c>
      <c r="N3" s="10" t="s">
        <v>74</v>
      </c>
      <c r="O3" s="10" t="s">
        <v>74</v>
      </c>
      <c r="P3" s="10" t="s">
        <v>74</v>
      </c>
      <c r="Q3" s="10" t="s">
        <v>74</v>
      </c>
      <c r="R3" s="10" t="s">
        <v>74</v>
      </c>
      <c r="S3" s="10" t="s">
        <v>74</v>
      </c>
      <c r="T3" s="10" t="s">
        <v>54</v>
      </c>
      <c r="U3" s="10" t="s">
        <v>56</v>
      </c>
      <c r="V3" s="10" t="s">
        <v>55</v>
      </c>
      <c r="W3" s="10" t="s">
        <v>54</v>
      </c>
      <c r="X3" s="10" t="s">
        <v>55</v>
      </c>
      <c r="Y3" s="10" t="s">
        <v>54</v>
      </c>
      <c r="Z3" s="11" t="s">
        <v>75</v>
      </c>
      <c r="AA3" s="11" t="s">
        <v>76</v>
      </c>
      <c r="AB3" s="11" t="s">
        <v>59</v>
      </c>
      <c r="AC3" s="11" t="s">
        <v>59</v>
      </c>
      <c r="AD3" s="11" t="s">
        <v>61</v>
      </c>
      <c r="AE3" s="11" t="s">
        <v>59</v>
      </c>
      <c r="AF3" s="11" t="s">
        <v>59</v>
      </c>
      <c r="AG3" s="11" t="s">
        <v>77</v>
      </c>
      <c r="AH3" s="11" t="s">
        <v>78</v>
      </c>
      <c r="AI3" s="11" t="s">
        <v>79</v>
      </c>
      <c r="AJ3" s="11" t="s">
        <v>52</v>
      </c>
      <c r="AK3" s="11" t="s">
        <v>80</v>
      </c>
      <c r="AL3" s="11" t="s">
        <v>66</v>
      </c>
      <c r="AM3" s="11" t="s">
        <v>67</v>
      </c>
      <c r="AN3" s="11" t="s">
        <v>68</v>
      </c>
    </row>
    <row r="4" spans="1:40" ht="57">
      <c r="A4" s="10">
        <v>16</v>
      </c>
      <c r="B4" s="10" t="s">
        <v>81</v>
      </c>
      <c r="C4" s="10" t="s">
        <v>82</v>
      </c>
      <c r="D4" s="10">
        <f t="shared" si="0"/>
        <v>2025</v>
      </c>
      <c r="E4" s="10" t="s">
        <v>45</v>
      </c>
      <c r="F4" s="10" t="s">
        <v>71</v>
      </c>
      <c r="G4" s="10" t="s">
        <v>49</v>
      </c>
      <c r="H4" s="10" t="s">
        <v>48</v>
      </c>
      <c r="I4" s="10" t="s">
        <v>72</v>
      </c>
      <c r="J4" s="10" t="s">
        <v>50</v>
      </c>
      <c r="K4" s="10" t="s">
        <v>48</v>
      </c>
      <c r="L4" s="10" t="s">
        <v>72</v>
      </c>
      <c r="M4" s="10" t="s">
        <v>83</v>
      </c>
      <c r="N4" s="10" t="s">
        <v>74</v>
      </c>
      <c r="O4" s="10" t="s">
        <v>74</v>
      </c>
      <c r="P4" s="10" t="s">
        <v>74</v>
      </c>
      <c r="Q4" s="10" t="s">
        <v>74</v>
      </c>
      <c r="R4" s="10" t="s">
        <v>74</v>
      </c>
      <c r="S4" s="10" t="s">
        <v>74</v>
      </c>
      <c r="T4" s="10" t="s">
        <v>54</v>
      </c>
      <c r="U4" s="10" t="s">
        <v>56</v>
      </c>
      <c r="V4" s="10" t="s">
        <v>54</v>
      </c>
      <c r="W4" s="10" t="s">
        <v>55</v>
      </c>
      <c r="X4" s="10" t="s">
        <v>55</v>
      </c>
      <c r="Y4" s="10" t="s">
        <v>54</v>
      </c>
      <c r="Z4" s="11" t="s">
        <v>84</v>
      </c>
      <c r="AA4" s="11" t="s">
        <v>85</v>
      </c>
      <c r="AB4" s="11" t="s">
        <v>59</v>
      </c>
      <c r="AC4" s="11" t="s">
        <v>59</v>
      </c>
      <c r="AD4" s="11" t="s">
        <v>60</v>
      </c>
      <c r="AE4" s="11" t="s">
        <v>59</v>
      </c>
      <c r="AF4" s="11" t="s">
        <v>59</v>
      </c>
      <c r="AG4" s="11" t="s">
        <v>77</v>
      </c>
      <c r="AH4" s="11" t="s">
        <v>78</v>
      </c>
      <c r="AI4" s="11" t="s">
        <v>64</v>
      </c>
      <c r="AJ4" s="11" t="s">
        <v>52</v>
      </c>
      <c r="AK4" s="11" t="s">
        <v>65</v>
      </c>
      <c r="AL4" s="11" t="s">
        <v>86</v>
      </c>
      <c r="AM4" s="11" t="s">
        <v>55</v>
      </c>
      <c r="AN4" s="11" t="s">
        <v>68</v>
      </c>
    </row>
    <row r="5" spans="1:40" ht="45.6">
      <c r="A5" s="10">
        <v>17</v>
      </c>
      <c r="B5" s="10" t="s">
        <v>87</v>
      </c>
      <c r="C5" s="10" t="s">
        <v>88</v>
      </c>
      <c r="D5" s="10">
        <f t="shared" si="0"/>
        <v>2026</v>
      </c>
      <c r="E5" s="10" t="s">
        <v>45</v>
      </c>
      <c r="F5" s="10" t="s">
        <v>71</v>
      </c>
      <c r="G5" s="10" t="s">
        <v>49</v>
      </c>
      <c r="H5" s="10" t="s">
        <v>50</v>
      </c>
      <c r="I5" s="10" t="s">
        <v>49</v>
      </c>
      <c r="J5" s="10" t="s">
        <v>50</v>
      </c>
      <c r="K5" s="10" t="s">
        <v>50</v>
      </c>
      <c r="L5" s="10" t="s">
        <v>50</v>
      </c>
      <c r="M5" s="10" t="s">
        <v>89</v>
      </c>
      <c r="N5" s="10" t="s">
        <v>53</v>
      </c>
      <c r="O5" s="10" t="s">
        <v>74</v>
      </c>
      <c r="P5" s="10" t="s">
        <v>48</v>
      </c>
      <c r="Q5" s="10" t="s">
        <v>48</v>
      </c>
      <c r="R5" s="10" t="s">
        <v>52</v>
      </c>
      <c r="S5" s="10" t="s">
        <v>48</v>
      </c>
      <c r="T5" s="10" t="s">
        <v>54</v>
      </c>
      <c r="U5" s="10" t="s">
        <v>56</v>
      </c>
      <c r="V5" s="10" t="s">
        <v>54</v>
      </c>
      <c r="W5" s="10" t="s">
        <v>54</v>
      </c>
      <c r="X5" s="10" t="s">
        <v>54</v>
      </c>
      <c r="Y5" s="10" t="s">
        <v>55</v>
      </c>
      <c r="Z5" s="11" t="s">
        <v>90</v>
      </c>
      <c r="AA5" s="11" t="s">
        <v>85</v>
      </c>
      <c r="AB5" s="11" t="s">
        <v>55</v>
      </c>
      <c r="AC5" s="11" t="s">
        <v>60</v>
      </c>
      <c r="AD5" s="11" t="s">
        <v>55</v>
      </c>
      <c r="AE5" s="11" t="s">
        <v>55</v>
      </c>
      <c r="AF5" s="11" t="s">
        <v>55</v>
      </c>
      <c r="AG5" s="11" t="s">
        <v>91</v>
      </c>
      <c r="AH5" s="11" t="s">
        <v>78</v>
      </c>
      <c r="AI5" s="11" t="s">
        <v>79</v>
      </c>
      <c r="AJ5" s="11" t="s">
        <v>74</v>
      </c>
      <c r="AK5" s="11" t="s">
        <v>65</v>
      </c>
      <c r="AL5" s="11" t="s">
        <v>92</v>
      </c>
      <c r="AM5" s="11" t="s">
        <v>55</v>
      </c>
      <c r="AN5" s="11" t="s">
        <v>93</v>
      </c>
    </row>
    <row r="6" spans="1:40" ht="45.6">
      <c r="A6" s="10">
        <v>18</v>
      </c>
      <c r="B6" s="10" t="s">
        <v>94</v>
      </c>
      <c r="C6" s="10" t="s">
        <v>95</v>
      </c>
      <c r="D6" s="10">
        <f t="shared" si="0"/>
        <v>2026</v>
      </c>
      <c r="E6" s="10" t="s">
        <v>96</v>
      </c>
      <c r="F6" s="10" t="s">
        <v>46</v>
      </c>
      <c r="G6" s="10" t="s">
        <v>49</v>
      </c>
      <c r="H6" s="10" t="s">
        <v>50</v>
      </c>
      <c r="I6" s="10" t="s">
        <v>47</v>
      </c>
      <c r="J6" s="10" t="s">
        <v>50</v>
      </c>
      <c r="K6" s="10" t="s">
        <v>50</v>
      </c>
      <c r="L6" s="10" t="s">
        <v>47</v>
      </c>
      <c r="M6" s="10" t="s">
        <v>51</v>
      </c>
      <c r="N6" s="10" t="s">
        <v>53</v>
      </c>
      <c r="O6" s="10" t="s">
        <v>52</v>
      </c>
      <c r="P6" s="10" t="s">
        <v>53</v>
      </c>
      <c r="Q6" s="10" t="s">
        <v>53</v>
      </c>
      <c r="R6" s="10" t="s">
        <v>48</v>
      </c>
      <c r="S6" s="10" t="s">
        <v>50</v>
      </c>
      <c r="T6" s="10" t="s">
        <v>56</v>
      </c>
      <c r="U6" s="10" t="s">
        <v>56</v>
      </c>
      <c r="V6" s="10" t="s">
        <v>56</v>
      </c>
      <c r="W6" s="10" t="s">
        <v>56</v>
      </c>
      <c r="X6" s="10" t="s">
        <v>97</v>
      </c>
      <c r="Y6" s="10" t="s">
        <v>55</v>
      </c>
      <c r="Z6" s="11" t="s">
        <v>90</v>
      </c>
      <c r="AA6" s="11" t="s">
        <v>85</v>
      </c>
      <c r="AB6" s="11" t="s">
        <v>55</v>
      </c>
      <c r="AC6" s="11" t="s">
        <v>60</v>
      </c>
      <c r="AD6" s="11" t="s">
        <v>55</v>
      </c>
      <c r="AE6" s="11" t="s">
        <v>60</v>
      </c>
      <c r="AF6" s="11" t="s">
        <v>55</v>
      </c>
      <c r="AG6" s="11" t="s">
        <v>91</v>
      </c>
      <c r="AH6" s="11" t="s">
        <v>78</v>
      </c>
      <c r="AI6" s="11" t="s">
        <v>64</v>
      </c>
      <c r="AJ6" s="11" t="s">
        <v>52</v>
      </c>
      <c r="AK6" s="11" t="s">
        <v>98</v>
      </c>
      <c r="AL6" s="11" t="s">
        <v>66</v>
      </c>
      <c r="AM6" s="11" t="s">
        <v>55</v>
      </c>
      <c r="AN6" s="11" t="s">
        <v>99</v>
      </c>
    </row>
    <row r="7" spans="1:40" ht="45.6">
      <c r="A7" s="10">
        <v>19</v>
      </c>
      <c r="B7" s="10" t="s">
        <v>100</v>
      </c>
      <c r="C7" s="10" t="s">
        <v>101</v>
      </c>
      <c r="D7" s="10">
        <f t="shared" si="0"/>
        <v>2024</v>
      </c>
      <c r="E7" s="10" t="s">
        <v>96</v>
      </c>
      <c r="F7" s="10" t="s">
        <v>46</v>
      </c>
      <c r="G7" s="10" t="s">
        <v>49</v>
      </c>
      <c r="H7" s="10" t="s">
        <v>50</v>
      </c>
      <c r="I7" s="10" t="s">
        <v>49</v>
      </c>
      <c r="J7" s="10" t="s">
        <v>50</v>
      </c>
      <c r="K7" s="10" t="s">
        <v>50</v>
      </c>
      <c r="L7" s="10" t="s">
        <v>50</v>
      </c>
      <c r="M7" s="10" t="s">
        <v>51</v>
      </c>
      <c r="N7" s="10" t="s">
        <v>53</v>
      </c>
      <c r="O7" s="10" t="s">
        <v>53</v>
      </c>
      <c r="P7" s="10" t="s">
        <v>53</v>
      </c>
      <c r="Q7" s="10" t="s">
        <v>53</v>
      </c>
      <c r="R7" s="10" t="s">
        <v>48</v>
      </c>
      <c r="S7" s="10" t="s">
        <v>53</v>
      </c>
      <c r="T7" s="10" t="s">
        <v>55</v>
      </c>
      <c r="U7" s="10" t="s">
        <v>55</v>
      </c>
      <c r="V7" s="10" t="s">
        <v>56</v>
      </c>
      <c r="W7" s="10" t="s">
        <v>97</v>
      </c>
      <c r="X7" s="10" t="s">
        <v>97</v>
      </c>
      <c r="Y7" s="10" t="s">
        <v>56</v>
      </c>
      <c r="Z7" s="11" t="s">
        <v>102</v>
      </c>
      <c r="AA7" s="11" t="s">
        <v>85</v>
      </c>
      <c r="AB7" s="11" t="s">
        <v>60</v>
      </c>
      <c r="AC7" s="11" t="s">
        <v>55</v>
      </c>
      <c r="AD7" s="11" t="s">
        <v>61</v>
      </c>
      <c r="AE7" s="11" t="s">
        <v>55</v>
      </c>
      <c r="AF7" s="11" t="s">
        <v>55</v>
      </c>
      <c r="AG7" s="11" t="s">
        <v>103</v>
      </c>
      <c r="AH7" s="11" t="s">
        <v>104</v>
      </c>
      <c r="AI7" s="11" t="s">
        <v>105</v>
      </c>
      <c r="AJ7" s="11" t="s">
        <v>53</v>
      </c>
      <c r="AK7" s="11" t="s">
        <v>98</v>
      </c>
      <c r="AL7" s="11" t="s">
        <v>66</v>
      </c>
      <c r="AM7" s="11" t="s">
        <v>55</v>
      </c>
      <c r="AN7" s="11" t="s">
        <v>68</v>
      </c>
    </row>
    <row r="8" spans="1:40" ht="45.6">
      <c r="A8" s="10">
        <v>20</v>
      </c>
      <c r="B8" s="10" t="s">
        <v>106</v>
      </c>
      <c r="C8" s="10" t="s">
        <v>107</v>
      </c>
      <c r="D8" s="10">
        <f t="shared" si="0"/>
        <v>2026</v>
      </c>
      <c r="E8" s="10" t="s">
        <v>96</v>
      </c>
      <c r="F8" s="10" t="s">
        <v>46</v>
      </c>
      <c r="G8" s="10" t="s">
        <v>47</v>
      </c>
      <c r="H8" s="10" t="s">
        <v>50</v>
      </c>
      <c r="I8" s="10" t="s">
        <v>50</v>
      </c>
      <c r="J8" s="10" t="s">
        <v>50</v>
      </c>
      <c r="K8" s="10" t="s">
        <v>50</v>
      </c>
      <c r="L8" s="10" t="s">
        <v>47</v>
      </c>
      <c r="M8" s="10" t="s">
        <v>51</v>
      </c>
      <c r="N8" s="10" t="s">
        <v>53</v>
      </c>
      <c r="O8" s="10" t="s">
        <v>48</v>
      </c>
      <c r="P8" s="10" t="s">
        <v>50</v>
      </c>
      <c r="Q8" s="10" t="s">
        <v>53</v>
      </c>
      <c r="R8" s="10" t="s">
        <v>48</v>
      </c>
      <c r="S8" s="10" t="s">
        <v>50</v>
      </c>
      <c r="T8" s="10" t="s">
        <v>55</v>
      </c>
      <c r="U8" s="10" t="s">
        <v>97</v>
      </c>
      <c r="V8" s="10" t="s">
        <v>108</v>
      </c>
      <c r="W8" s="10" t="s">
        <v>56</v>
      </c>
      <c r="X8" s="10" t="s">
        <v>97</v>
      </c>
      <c r="Y8" s="10" t="s">
        <v>56</v>
      </c>
      <c r="Z8" s="11" t="s">
        <v>90</v>
      </c>
      <c r="AA8" s="11" t="s">
        <v>85</v>
      </c>
      <c r="AB8" s="11" t="s">
        <v>55</v>
      </c>
      <c r="AC8" s="11" t="s">
        <v>55</v>
      </c>
      <c r="AD8" s="11" t="s">
        <v>61</v>
      </c>
      <c r="AE8" s="11" t="s">
        <v>55</v>
      </c>
      <c r="AF8" s="11" t="s">
        <v>55</v>
      </c>
      <c r="AG8" s="11" t="s">
        <v>91</v>
      </c>
      <c r="AH8" s="11" t="s">
        <v>104</v>
      </c>
      <c r="AI8" s="11" t="s">
        <v>64</v>
      </c>
      <c r="AJ8" s="11" t="s">
        <v>74</v>
      </c>
      <c r="AK8" s="11" t="s">
        <v>98</v>
      </c>
      <c r="AL8" s="11" t="s">
        <v>92</v>
      </c>
      <c r="AM8" s="11" t="s">
        <v>109</v>
      </c>
      <c r="AN8" s="11" t="s">
        <v>110</v>
      </c>
    </row>
    <row r="9" spans="1:40" ht="45.6">
      <c r="A9" s="10">
        <v>21</v>
      </c>
      <c r="B9" s="10" t="s">
        <v>111</v>
      </c>
      <c r="C9" s="10" t="s">
        <v>112</v>
      </c>
      <c r="D9" s="10">
        <f t="shared" si="0"/>
        <v>2026</v>
      </c>
      <c r="E9" s="10" t="s">
        <v>45</v>
      </c>
      <c r="F9" s="10" t="s">
        <v>71</v>
      </c>
      <c r="G9" s="10" t="s">
        <v>72</v>
      </c>
      <c r="H9" s="10" t="s">
        <v>50</v>
      </c>
      <c r="I9" s="10" t="s">
        <v>50</v>
      </c>
      <c r="J9" s="10" t="s">
        <v>50</v>
      </c>
      <c r="K9" s="10" t="s">
        <v>50</v>
      </c>
      <c r="L9" s="10" t="s">
        <v>50</v>
      </c>
      <c r="M9" s="10" t="s">
        <v>89</v>
      </c>
      <c r="N9" s="10" t="s">
        <v>48</v>
      </c>
      <c r="O9" s="10" t="s">
        <v>53</v>
      </c>
      <c r="P9" s="10" t="s">
        <v>52</v>
      </c>
      <c r="Q9" s="10" t="s">
        <v>50</v>
      </c>
      <c r="R9" s="10" t="s">
        <v>50</v>
      </c>
      <c r="S9" s="10" t="s">
        <v>53</v>
      </c>
      <c r="T9" s="10" t="s">
        <v>54</v>
      </c>
      <c r="U9" s="10" t="s">
        <v>55</v>
      </c>
      <c r="V9" s="10" t="s">
        <v>55</v>
      </c>
      <c r="W9" s="10" t="s">
        <v>97</v>
      </c>
      <c r="X9" s="10" t="s">
        <v>97</v>
      </c>
      <c r="Y9" s="10" t="s">
        <v>56</v>
      </c>
      <c r="Z9" s="11" t="s">
        <v>113</v>
      </c>
      <c r="AA9" s="11" t="s">
        <v>85</v>
      </c>
      <c r="AB9" s="11" t="s">
        <v>60</v>
      </c>
      <c r="AC9" s="11" t="s">
        <v>59</v>
      </c>
      <c r="AD9" s="11" t="s">
        <v>55</v>
      </c>
      <c r="AE9" s="11" t="s">
        <v>55</v>
      </c>
      <c r="AF9" s="11" t="s">
        <v>60</v>
      </c>
      <c r="AG9" s="11" t="s">
        <v>91</v>
      </c>
      <c r="AH9" s="11" t="s">
        <v>78</v>
      </c>
      <c r="AI9" s="11" t="s">
        <v>64</v>
      </c>
      <c r="AJ9" s="11" t="s">
        <v>74</v>
      </c>
      <c r="AK9" s="11" t="s">
        <v>80</v>
      </c>
      <c r="AL9" s="11" t="s">
        <v>66</v>
      </c>
      <c r="AM9" s="11" t="s">
        <v>55</v>
      </c>
      <c r="AN9" s="11" t="s">
        <v>93</v>
      </c>
    </row>
    <row r="10" spans="1:40" ht="45.6">
      <c r="A10" s="10">
        <v>22</v>
      </c>
      <c r="B10" s="10" t="s">
        <v>114</v>
      </c>
      <c r="C10" s="10" t="s">
        <v>115</v>
      </c>
      <c r="D10" s="10">
        <f t="shared" si="0"/>
        <v>2025</v>
      </c>
      <c r="E10" s="10" t="s">
        <v>96</v>
      </c>
      <c r="F10" s="10" t="s">
        <v>71</v>
      </c>
      <c r="G10" s="10" t="s">
        <v>47</v>
      </c>
      <c r="H10" s="10" t="s">
        <v>50</v>
      </c>
      <c r="I10" s="10" t="s">
        <v>47</v>
      </c>
      <c r="J10" s="10" t="s">
        <v>50</v>
      </c>
      <c r="K10" s="10" t="s">
        <v>50</v>
      </c>
      <c r="L10" s="10" t="s">
        <v>50</v>
      </c>
      <c r="M10" s="10" t="s">
        <v>83</v>
      </c>
      <c r="N10" s="10" t="s">
        <v>48</v>
      </c>
      <c r="O10" s="10" t="s">
        <v>53</v>
      </c>
      <c r="P10" s="10" t="s">
        <v>53</v>
      </c>
      <c r="Q10" s="10" t="s">
        <v>48</v>
      </c>
      <c r="R10" s="10" t="s">
        <v>53</v>
      </c>
      <c r="S10" s="10" t="s">
        <v>50</v>
      </c>
      <c r="T10" s="10" t="s">
        <v>55</v>
      </c>
      <c r="U10" s="10" t="s">
        <v>55</v>
      </c>
      <c r="V10" s="10" t="s">
        <v>97</v>
      </c>
      <c r="W10" s="10" t="s">
        <v>55</v>
      </c>
      <c r="X10" s="10" t="s">
        <v>97</v>
      </c>
      <c r="Y10" s="10" t="s">
        <v>55</v>
      </c>
      <c r="Z10" s="11" t="s">
        <v>113</v>
      </c>
      <c r="AA10" s="11" t="s">
        <v>85</v>
      </c>
      <c r="AB10" s="11" t="s">
        <v>60</v>
      </c>
      <c r="AC10" s="11" t="s">
        <v>60</v>
      </c>
      <c r="AD10" s="11" t="s">
        <v>55</v>
      </c>
      <c r="AE10" s="11" t="s">
        <v>60</v>
      </c>
      <c r="AF10" s="11" t="s">
        <v>60</v>
      </c>
      <c r="AG10" s="11" t="s">
        <v>91</v>
      </c>
      <c r="AH10" s="11" t="s">
        <v>63</v>
      </c>
      <c r="AI10" s="11" t="s">
        <v>64</v>
      </c>
      <c r="AJ10" s="11" t="s">
        <v>52</v>
      </c>
      <c r="AK10" s="11" t="s">
        <v>65</v>
      </c>
      <c r="AL10" s="11" t="s">
        <v>66</v>
      </c>
      <c r="AM10" s="11" t="s">
        <v>55</v>
      </c>
      <c r="AN10" s="11" t="s">
        <v>110</v>
      </c>
    </row>
    <row r="11" spans="1:40" ht="45.6">
      <c r="A11" s="10">
        <v>23</v>
      </c>
      <c r="B11" s="10" t="s">
        <v>116</v>
      </c>
      <c r="C11" s="10" t="s">
        <v>117</v>
      </c>
      <c r="D11" s="10">
        <f t="shared" si="0"/>
        <v>2026</v>
      </c>
      <c r="E11" s="10" t="s">
        <v>45</v>
      </c>
      <c r="F11" s="10" t="s">
        <v>71</v>
      </c>
      <c r="G11" s="10" t="s">
        <v>72</v>
      </c>
      <c r="H11" s="10" t="s">
        <v>50</v>
      </c>
      <c r="I11" s="10" t="s">
        <v>72</v>
      </c>
      <c r="J11" s="10" t="s">
        <v>50</v>
      </c>
      <c r="K11" s="10" t="s">
        <v>48</v>
      </c>
      <c r="L11" s="10" t="s">
        <v>72</v>
      </c>
      <c r="M11" s="10" t="s">
        <v>83</v>
      </c>
      <c r="N11" s="10" t="s">
        <v>52</v>
      </c>
      <c r="O11" s="10" t="s">
        <v>52</v>
      </c>
      <c r="P11" s="10" t="s">
        <v>52</v>
      </c>
      <c r="Q11" s="10" t="s">
        <v>48</v>
      </c>
      <c r="R11" s="10" t="s">
        <v>74</v>
      </c>
      <c r="S11" s="10" t="s">
        <v>74</v>
      </c>
      <c r="T11" s="10" t="s">
        <v>54</v>
      </c>
      <c r="U11" s="10" t="s">
        <v>55</v>
      </c>
      <c r="V11" s="10" t="s">
        <v>55</v>
      </c>
      <c r="W11" s="10" t="s">
        <v>54</v>
      </c>
      <c r="X11" s="10" t="s">
        <v>97</v>
      </c>
      <c r="Y11" s="10" t="s">
        <v>55</v>
      </c>
      <c r="Z11" s="11" t="s">
        <v>118</v>
      </c>
      <c r="AA11" s="11" t="s">
        <v>76</v>
      </c>
      <c r="AB11" s="11" t="s">
        <v>59</v>
      </c>
      <c r="AC11" s="11" t="s">
        <v>59</v>
      </c>
      <c r="AD11" s="11" t="s">
        <v>61</v>
      </c>
      <c r="AE11" s="11" t="s">
        <v>59</v>
      </c>
      <c r="AF11" s="11" t="s">
        <v>60</v>
      </c>
      <c r="AG11" s="11" t="s">
        <v>119</v>
      </c>
      <c r="AH11" s="11" t="s">
        <v>78</v>
      </c>
      <c r="AI11" s="11" t="s">
        <v>120</v>
      </c>
      <c r="AJ11" s="11" t="s">
        <v>53</v>
      </c>
      <c r="AK11" s="11" t="s">
        <v>80</v>
      </c>
      <c r="AL11" s="11" t="s">
        <v>66</v>
      </c>
      <c r="AM11" s="11" t="s">
        <v>109</v>
      </c>
      <c r="AN11" s="11" t="s">
        <v>121</v>
      </c>
    </row>
    <row r="12" spans="1:40" ht="57">
      <c r="A12" s="10">
        <v>24</v>
      </c>
      <c r="B12" s="10" t="s">
        <v>122</v>
      </c>
      <c r="C12" s="10" t="s">
        <v>123</v>
      </c>
      <c r="D12" s="10">
        <f t="shared" si="0"/>
        <v>2026</v>
      </c>
      <c r="E12" s="10" t="s">
        <v>45</v>
      </c>
      <c r="F12" s="10" t="s">
        <v>71</v>
      </c>
      <c r="G12" s="10" t="s">
        <v>72</v>
      </c>
      <c r="H12" s="10" t="s">
        <v>50</v>
      </c>
      <c r="I12" s="10" t="s">
        <v>48</v>
      </c>
      <c r="J12" s="10" t="s">
        <v>50</v>
      </c>
      <c r="K12" s="10" t="s">
        <v>50</v>
      </c>
      <c r="L12" s="10" t="s">
        <v>50</v>
      </c>
      <c r="M12" s="10" t="s">
        <v>89</v>
      </c>
      <c r="N12" s="10" t="s">
        <v>74</v>
      </c>
      <c r="O12" s="10" t="s">
        <v>74</v>
      </c>
      <c r="P12" s="10" t="s">
        <v>74</v>
      </c>
      <c r="Q12" s="10" t="s">
        <v>74</v>
      </c>
      <c r="R12" s="10" t="s">
        <v>74</v>
      </c>
      <c r="S12" s="10" t="s">
        <v>52</v>
      </c>
      <c r="T12" s="10" t="s">
        <v>54</v>
      </c>
      <c r="U12" s="10" t="s">
        <v>54</v>
      </c>
      <c r="V12" s="10" t="s">
        <v>54</v>
      </c>
      <c r="W12" s="10" t="s">
        <v>54</v>
      </c>
      <c r="X12" s="10" t="s">
        <v>54</v>
      </c>
      <c r="Y12" s="10" t="s">
        <v>54</v>
      </c>
      <c r="Z12" s="11" t="s">
        <v>57</v>
      </c>
      <c r="AA12" s="11" t="s">
        <v>58</v>
      </c>
      <c r="AB12" s="11" t="s">
        <v>59</v>
      </c>
      <c r="AC12" s="11" t="s">
        <v>59</v>
      </c>
      <c r="AD12" s="11" t="s">
        <v>55</v>
      </c>
      <c r="AE12" s="11" t="s">
        <v>59</v>
      </c>
      <c r="AF12" s="11" t="s">
        <v>55</v>
      </c>
      <c r="AG12" s="11" t="s">
        <v>91</v>
      </c>
      <c r="AH12" s="11" t="s">
        <v>78</v>
      </c>
      <c r="AI12" s="11" t="s">
        <v>64</v>
      </c>
      <c r="AJ12" s="11" t="s">
        <v>48</v>
      </c>
      <c r="AK12" s="11" t="s">
        <v>80</v>
      </c>
      <c r="AL12" s="11" t="s">
        <v>66</v>
      </c>
      <c r="AM12" s="11" t="s">
        <v>124</v>
      </c>
      <c r="AN12" s="11" t="s">
        <v>99</v>
      </c>
    </row>
    <row r="13" spans="1:40" ht="45.6">
      <c r="A13" s="10">
        <v>25</v>
      </c>
      <c r="B13" s="10" t="s">
        <v>125</v>
      </c>
      <c r="C13" s="10" t="s">
        <v>126</v>
      </c>
      <c r="D13" s="10">
        <f t="shared" si="0"/>
        <v>2026</v>
      </c>
      <c r="E13" s="10" t="s">
        <v>96</v>
      </c>
      <c r="F13" s="10" t="s">
        <v>127</v>
      </c>
      <c r="G13" s="10" t="s">
        <v>47</v>
      </c>
      <c r="H13" s="10" t="s">
        <v>50</v>
      </c>
      <c r="I13" s="10" t="s">
        <v>50</v>
      </c>
      <c r="J13" s="10" t="s">
        <v>48</v>
      </c>
      <c r="K13" s="10" t="s">
        <v>50</v>
      </c>
      <c r="L13" s="10" t="s">
        <v>47</v>
      </c>
      <c r="M13" s="10" t="s">
        <v>51</v>
      </c>
      <c r="N13" s="10" t="s">
        <v>52</v>
      </c>
      <c r="O13" s="10" t="s">
        <v>52</v>
      </c>
      <c r="P13" s="10" t="s">
        <v>48</v>
      </c>
      <c r="Q13" s="10" t="s">
        <v>53</v>
      </c>
      <c r="R13" s="10" t="s">
        <v>50</v>
      </c>
      <c r="S13" s="10" t="s">
        <v>48</v>
      </c>
      <c r="T13" s="10" t="s">
        <v>54</v>
      </c>
      <c r="U13" s="10" t="s">
        <v>55</v>
      </c>
      <c r="V13" s="10" t="s">
        <v>55</v>
      </c>
      <c r="W13" s="10" t="s">
        <v>56</v>
      </c>
      <c r="X13" s="10" t="s">
        <v>108</v>
      </c>
      <c r="Y13" s="10" t="s">
        <v>56</v>
      </c>
      <c r="Z13" s="11" t="s">
        <v>128</v>
      </c>
      <c r="AA13" s="11" t="s">
        <v>85</v>
      </c>
      <c r="AB13" s="11" t="s">
        <v>59</v>
      </c>
      <c r="AC13" s="11" t="s">
        <v>55</v>
      </c>
      <c r="AD13" s="11" t="s">
        <v>60</v>
      </c>
      <c r="AE13" s="11" t="s">
        <v>55</v>
      </c>
      <c r="AF13" s="11" t="s">
        <v>55</v>
      </c>
      <c r="AG13" s="11" t="s">
        <v>129</v>
      </c>
      <c r="AH13" s="11" t="s">
        <v>78</v>
      </c>
      <c r="AI13" s="11" t="s">
        <v>79</v>
      </c>
      <c r="AJ13" s="11" t="s">
        <v>52</v>
      </c>
      <c r="AK13" s="11" t="s">
        <v>65</v>
      </c>
      <c r="AL13" s="11" t="s">
        <v>92</v>
      </c>
      <c r="AM13" s="11" t="s">
        <v>67</v>
      </c>
      <c r="AN13" s="11" t="s">
        <v>99</v>
      </c>
    </row>
    <row r="14" spans="1:40" ht="45.6">
      <c r="A14" s="10">
        <v>26</v>
      </c>
      <c r="B14" s="10" t="s">
        <v>130</v>
      </c>
      <c r="C14" s="10" t="s">
        <v>131</v>
      </c>
      <c r="D14" s="10">
        <f t="shared" si="0"/>
        <v>2022</v>
      </c>
      <c r="E14" s="10" t="s">
        <v>45</v>
      </c>
      <c r="F14" s="10" t="s">
        <v>71</v>
      </c>
      <c r="G14" s="10" t="s">
        <v>47</v>
      </c>
      <c r="H14" s="10" t="s">
        <v>48</v>
      </c>
      <c r="I14" s="10" t="s">
        <v>48</v>
      </c>
      <c r="J14" s="10" t="s">
        <v>72</v>
      </c>
      <c r="K14" s="10" t="s">
        <v>50</v>
      </c>
      <c r="L14" s="10" t="s">
        <v>48</v>
      </c>
      <c r="M14" s="10" t="s">
        <v>51</v>
      </c>
      <c r="N14" s="10" t="s">
        <v>48</v>
      </c>
      <c r="O14" s="10" t="s">
        <v>52</v>
      </c>
      <c r="P14" s="10" t="s">
        <v>74</v>
      </c>
      <c r="Q14" s="10" t="s">
        <v>52</v>
      </c>
      <c r="R14" s="10" t="s">
        <v>48</v>
      </c>
      <c r="S14" s="10" t="s">
        <v>53</v>
      </c>
      <c r="T14" s="10" t="s">
        <v>55</v>
      </c>
      <c r="U14" s="10" t="s">
        <v>56</v>
      </c>
      <c r="V14" s="10" t="s">
        <v>56</v>
      </c>
      <c r="W14" s="10" t="s">
        <v>54</v>
      </c>
      <c r="X14" s="10" t="s">
        <v>97</v>
      </c>
      <c r="Y14" s="10" t="s">
        <v>55</v>
      </c>
      <c r="Z14" s="11" t="s">
        <v>90</v>
      </c>
      <c r="AA14" s="11" t="s">
        <v>85</v>
      </c>
      <c r="AB14" s="11" t="s">
        <v>55</v>
      </c>
      <c r="AC14" s="11" t="s">
        <v>59</v>
      </c>
      <c r="AD14" s="11" t="s">
        <v>55</v>
      </c>
      <c r="AE14" s="11" t="s">
        <v>59</v>
      </c>
      <c r="AF14" s="11" t="s">
        <v>60</v>
      </c>
      <c r="AG14" s="11" t="s">
        <v>129</v>
      </c>
      <c r="AH14" s="11" t="s">
        <v>78</v>
      </c>
      <c r="AI14" s="11" t="s">
        <v>120</v>
      </c>
      <c r="AJ14" s="11" t="s">
        <v>52</v>
      </c>
      <c r="AK14" s="11" t="s">
        <v>65</v>
      </c>
      <c r="AL14" s="11" t="s">
        <v>92</v>
      </c>
      <c r="AM14" s="11" t="s">
        <v>55</v>
      </c>
      <c r="AN14" s="11" t="s">
        <v>110</v>
      </c>
    </row>
    <row r="15" spans="1:40" ht="57">
      <c r="A15" s="10">
        <v>27</v>
      </c>
      <c r="B15" s="10" t="s">
        <v>132</v>
      </c>
      <c r="C15" s="10" t="s">
        <v>133</v>
      </c>
      <c r="D15" s="10">
        <f t="shared" si="0"/>
        <v>2022</v>
      </c>
      <c r="E15" s="10" t="s">
        <v>45</v>
      </c>
      <c r="F15" s="10" t="s">
        <v>71</v>
      </c>
      <c r="G15" s="10" t="s">
        <v>49</v>
      </c>
      <c r="H15" s="10" t="s">
        <v>50</v>
      </c>
      <c r="I15" s="10" t="s">
        <v>49</v>
      </c>
      <c r="J15" s="10" t="s">
        <v>50</v>
      </c>
      <c r="K15" s="10" t="s">
        <v>49</v>
      </c>
      <c r="L15" s="10" t="s">
        <v>49</v>
      </c>
      <c r="M15" s="10" t="s">
        <v>51</v>
      </c>
      <c r="N15" s="10" t="s">
        <v>53</v>
      </c>
      <c r="O15" s="10" t="s">
        <v>52</v>
      </c>
      <c r="P15" s="10" t="s">
        <v>52</v>
      </c>
      <c r="Q15" s="10" t="s">
        <v>48</v>
      </c>
      <c r="R15" s="10" t="s">
        <v>53</v>
      </c>
      <c r="S15" s="10" t="s">
        <v>48</v>
      </c>
      <c r="T15" s="10" t="s">
        <v>56</v>
      </c>
      <c r="U15" s="10" t="s">
        <v>56</v>
      </c>
      <c r="V15" s="10" t="s">
        <v>56</v>
      </c>
      <c r="W15" s="10" t="s">
        <v>56</v>
      </c>
      <c r="X15" s="10" t="s">
        <v>56</v>
      </c>
      <c r="Y15" s="10" t="s">
        <v>56</v>
      </c>
      <c r="Z15" s="11" t="s">
        <v>84</v>
      </c>
      <c r="AA15" s="11" t="s">
        <v>85</v>
      </c>
      <c r="AB15" s="11" t="s">
        <v>60</v>
      </c>
      <c r="AC15" s="11" t="s">
        <v>60</v>
      </c>
      <c r="AD15" s="11" t="s">
        <v>60</v>
      </c>
      <c r="AE15" s="11" t="s">
        <v>59</v>
      </c>
      <c r="AF15" s="11" t="s">
        <v>60</v>
      </c>
      <c r="AG15" s="11" t="s">
        <v>129</v>
      </c>
      <c r="AH15" s="11" t="s">
        <v>78</v>
      </c>
      <c r="AI15" s="11" t="s">
        <v>134</v>
      </c>
      <c r="AJ15" s="11" t="s">
        <v>48</v>
      </c>
      <c r="AK15" s="11" t="s">
        <v>65</v>
      </c>
      <c r="AL15" s="11" t="s">
        <v>66</v>
      </c>
      <c r="AM15" s="11" t="s">
        <v>124</v>
      </c>
      <c r="AN15" s="11" t="s">
        <v>110</v>
      </c>
    </row>
    <row r="16" spans="1:40" ht="57">
      <c r="A16" s="10">
        <v>28</v>
      </c>
      <c r="B16" s="10" t="s">
        <v>135</v>
      </c>
      <c r="C16" s="10" t="s">
        <v>136</v>
      </c>
      <c r="D16" s="10">
        <f t="shared" si="0"/>
        <v>2022</v>
      </c>
      <c r="E16" s="10" t="s">
        <v>45</v>
      </c>
      <c r="F16" s="10" t="s">
        <v>46</v>
      </c>
      <c r="G16" s="10" t="s">
        <v>49</v>
      </c>
      <c r="H16" s="10" t="s">
        <v>50</v>
      </c>
      <c r="I16" s="10" t="s">
        <v>48</v>
      </c>
      <c r="J16" s="10" t="s">
        <v>50</v>
      </c>
      <c r="K16" s="10" t="s">
        <v>50</v>
      </c>
      <c r="L16" s="10" t="s">
        <v>49</v>
      </c>
      <c r="M16" s="10" t="s">
        <v>89</v>
      </c>
      <c r="N16" s="10" t="s">
        <v>53</v>
      </c>
      <c r="O16" s="10" t="s">
        <v>52</v>
      </c>
      <c r="P16" s="10" t="s">
        <v>48</v>
      </c>
      <c r="Q16" s="10" t="s">
        <v>48</v>
      </c>
      <c r="R16" s="10" t="s">
        <v>52</v>
      </c>
      <c r="S16" s="10" t="s">
        <v>53</v>
      </c>
      <c r="T16" s="10" t="s">
        <v>54</v>
      </c>
      <c r="U16" s="10" t="s">
        <v>54</v>
      </c>
      <c r="V16" s="10" t="s">
        <v>56</v>
      </c>
      <c r="W16" s="10" t="s">
        <v>55</v>
      </c>
      <c r="X16" s="10" t="s">
        <v>97</v>
      </c>
      <c r="Y16" s="10" t="s">
        <v>54</v>
      </c>
      <c r="Z16" s="11" t="s">
        <v>137</v>
      </c>
      <c r="AA16" s="11" t="s">
        <v>138</v>
      </c>
      <c r="AB16" s="11" t="s">
        <v>59</v>
      </c>
      <c r="AC16" s="11" t="s">
        <v>59</v>
      </c>
      <c r="AD16" s="11" t="s">
        <v>60</v>
      </c>
      <c r="AE16" s="11" t="s">
        <v>60</v>
      </c>
      <c r="AF16" s="11" t="s">
        <v>60</v>
      </c>
      <c r="AG16" s="11" t="s">
        <v>91</v>
      </c>
      <c r="AH16" s="11" t="s">
        <v>63</v>
      </c>
      <c r="AI16" s="11" t="s">
        <v>64</v>
      </c>
      <c r="AJ16" s="11" t="s">
        <v>48</v>
      </c>
      <c r="AK16" s="11" t="s">
        <v>65</v>
      </c>
      <c r="AL16" s="11" t="s">
        <v>66</v>
      </c>
      <c r="AM16" s="11" t="s">
        <v>109</v>
      </c>
      <c r="AN16" s="11" t="s">
        <v>99</v>
      </c>
    </row>
    <row r="17" spans="1:40" ht="57">
      <c r="A17" s="10">
        <v>29</v>
      </c>
      <c r="B17" s="10" t="s">
        <v>139</v>
      </c>
      <c r="C17" s="10" t="s">
        <v>140</v>
      </c>
      <c r="D17" s="10">
        <f t="shared" si="0"/>
        <v>2023</v>
      </c>
      <c r="E17" s="10" t="s">
        <v>96</v>
      </c>
      <c r="F17" s="10" t="s">
        <v>46</v>
      </c>
      <c r="G17" s="10" t="s">
        <v>49</v>
      </c>
      <c r="H17" s="10" t="s">
        <v>50</v>
      </c>
      <c r="I17" s="10" t="s">
        <v>49</v>
      </c>
      <c r="J17" s="10" t="s">
        <v>50</v>
      </c>
      <c r="K17" s="10" t="s">
        <v>49</v>
      </c>
      <c r="L17" s="10" t="s">
        <v>50</v>
      </c>
      <c r="M17" s="10" t="s">
        <v>83</v>
      </c>
      <c r="N17" s="10" t="s">
        <v>48</v>
      </c>
      <c r="O17" s="10" t="s">
        <v>48</v>
      </c>
      <c r="P17" s="10" t="s">
        <v>52</v>
      </c>
      <c r="Q17" s="10" t="s">
        <v>53</v>
      </c>
      <c r="R17" s="10" t="s">
        <v>52</v>
      </c>
      <c r="S17" s="10" t="s">
        <v>52</v>
      </c>
      <c r="T17" s="10" t="s">
        <v>108</v>
      </c>
      <c r="U17" s="10" t="s">
        <v>108</v>
      </c>
      <c r="V17" s="10" t="s">
        <v>108</v>
      </c>
      <c r="W17" s="10" t="s">
        <v>56</v>
      </c>
      <c r="X17" s="10" t="s">
        <v>108</v>
      </c>
      <c r="Y17" s="10" t="s">
        <v>108</v>
      </c>
      <c r="Z17" s="11" t="s">
        <v>141</v>
      </c>
      <c r="AA17" s="11" t="s">
        <v>76</v>
      </c>
      <c r="AB17" s="11" t="s">
        <v>60</v>
      </c>
      <c r="AC17" s="11" t="s">
        <v>59</v>
      </c>
      <c r="AD17" s="11" t="s">
        <v>55</v>
      </c>
      <c r="AE17" s="11" t="s">
        <v>59</v>
      </c>
      <c r="AF17" s="11" t="s">
        <v>59</v>
      </c>
      <c r="AG17" s="11" t="s">
        <v>91</v>
      </c>
      <c r="AH17" s="11" t="s">
        <v>78</v>
      </c>
      <c r="AI17" s="11" t="s">
        <v>64</v>
      </c>
      <c r="AJ17" s="11" t="s">
        <v>74</v>
      </c>
      <c r="AK17" s="11" t="s">
        <v>80</v>
      </c>
      <c r="AL17" s="11" t="s">
        <v>92</v>
      </c>
      <c r="AM17" s="11" t="s">
        <v>109</v>
      </c>
      <c r="AN17" s="11" t="s">
        <v>99</v>
      </c>
    </row>
    <row r="18" spans="1:40" ht="45.6">
      <c r="A18" s="10">
        <v>30</v>
      </c>
      <c r="B18" s="10" t="s">
        <v>142</v>
      </c>
      <c r="C18" s="10">
        <v>123422</v>
      </c>
      <c r="D18" s="10">
        <f t="shared" si="0"/>
        <v>2022</v>
      </c>
      <c r="E18" s="10" t="s">
        <v>96</v>
      </c>
      <c r="F18" s="10" t="s">
        <v>127</v>
      </c>
      <c r="G18" s="10" t="s">
        <v>47</v>
      </c>
      <c r="H18" s="10" t="s">
        <v>47</v>
      </c>
      <c r="I18" s="10" t="s">
        <v>49</v>
      </c>
      <c r="J18" s="10" t="s">
        <v>50</v>
      </c>
      <c r="K18" s="10" t="s">
        <v>50</v>
      </c>
      <c r="L18" s="10" t="s">
        <v>50</v>
      </c>
      <c r="M18" s="10" t="s">
        <v>89</v>
      </c>
      <c r="N18" s="10" t="s">
        <v>53</v>
      </c>
      <c r="O18" s="10" t="s">
        <v>48</v>
      </c>
      <c r="P18" s="10" t="s">
        <v>48</v>
      </c>
      <c r="Q18" s="10" t="s">
        <v>48</v>
      </c>
      <c r="R18" s="10" t="s">
        <v>48</v>
      </c>
      <c r="S18" s="10" t="s">
        <v>52</v>
      </c>
      <c r="T18" s="10" t="s">
        <v>56</v>
      </c>
      <c r="U18" s="10" t="s">
        <v>56</v>
      </c>
      <c r="V18" s="10" t="s">
        <v>55</v>
      </c>
      <c r="W18" s="10" t="s">
        <v>56</v>
      </c>
      <c r="X18" s="10" t="s">
        <v>97</v>
      </c>
      <c r="Y18" s="10" t="s">
        <v>56</v>
      </c>
      <c r="Z18" s="11" t="s">
        <v>143</v>
      </c>
      <c r="AA18" s="11" t="s">
        <v>76</v>
      </c>
      <c r="AB18" s="11" t="s">
        <v>60</v>
      </c>
      <c r="AC18" s="11" t="s">
        <v>55</v>
      </c>
      <c r="AD18" s="11" t="s">
        <v>144</v>
      </c>
      <c r="AE18" s="11" t="s">
        <v>60</v>
      </c>
      <c r="AF18" s="11" t="s">
        <v>60</v>
      </c>
      <c r="AG18" s="11" t="s">
        <v>145</v>
      </c>
      <c r="AH18" s="11" t="s">
        <v>78</v>
      </c>
      <c r="AI18" s="11" t="s">
        <v>64</v>
      </c>
      <c r="AJ18" s="11" t="s">
        <v>48</v>
      </c>
      <c r="AK18" s="11" t="s">
        <v>98</v>
      </c>
      <c r="AL18" s="11" t="s">
        <v>66</v>
      </c>
      <c r="AM18" s="11" t="s">
        <v>124</v>
      </c>
      <c r="AN18" s="11" t="s">
        <v>68</v>
      </c>
    </row>
    <row r="19" spans="1:40" ht="45.6">
      <c r="A19" s="10">
        <v>31</v>
      </c>
      <c r="B19" s="10" t="s">
        <v>146</v>
      </c>
      <c r="C19" s="10" t="s">
        <v>147</v>
      </c>
      <c r="D19" s="10">
        <f t="shared" si="0"/>
        <v>2023</v>
      </c>
      <c r="E19" s="10" t="s">
        <v>45</v>
      </c>
      <c r="F19" s="10" t="s">
        <v>71</v>
      </c>
      <c r="G19" s="10" t="s">
        <v>72</v>
      </c>
      <c r="H19" s="10" t="s">
        <v>50</v>
      </c>
      <c r="I19" s="10" t="s">
        <v>47</v>
      </c>
      <c r="J19" s="10" t="s">
        <v>50</v>
      </c>
      <c r="K19" s="10" t="s">
        <v>50</v>
      </c>
      <c r="L19" s="10" t="s">
        <v>50</v>
      </c>
      <c r="M19" s="10" t="s">
        <v>89</v>
      </c>
      <c r="N19" s="10" t="s">
        <v>52</v>
      </c>
      <c r="O19" s="10" t="s">
        <v>52</v>
      </c>
      <c r="P19" s="10" t="s">
        <v>53</v>
      </c>
      <c r="Q19" s="10" t="s">
        <v>52</v>
      </c>
      <c r="R19" s="10" t="s">
        <v>74</v>
      </c>
      <c r="S19" s="10" t="s">
        <v>52</v>
      </c>
      <c r="T19" s="10" t="s">
        <v>54</v>
      </c>
      <c r="U19" s="10" t="s">
        <v>55</v>
      </c>
      <c r="V19" s="10" t="s">
        <v>56</v>
      </c>
      <c r="W19" s="10" t="s">
        <v>56</v>
      </c>
      <c r="X19" s="10" t="s">
        <v>97</v>
      </c>
      <c r="Y19" s="10" t="s">
        <v>56</v>
      </c>
      <c r="Z19" s="11" t="s">
        <v>90</v>
      </c>
      <c r="AA19" s="11" t="s">
        <v>85</v>
      </c>
      <c r="AB19" s="11" t="s">
        <v>60</v>
      </c>
      <c r="AC19" s="11" t="s">
        <v>60</v>
      </c>
      <c r="AD19" s="11" t="s">
        <v>55</v>
      </c>
      <c r="AE19" s="11" t="s">
        <v>59</v>
      </c>
      <c r="AF19" s="11" t="s">
        <v>60</v>
      </c>
      <c r="AG19" s="11" t="s">
        <v>145</v>
      </c>
      <c r="AH19" s="11" t="s">
        <v>78</v>
      </c>
      <c r="AI19" s="11" t="s">
        <v>64</v>
      </c>
      <c r="AJ19" s="11" t="s">
        <v>53</v>
      </c>
      <c r="AK19" s="11" t="s">
        <v>65</v>
      </c>
      <c r="AL19" s="11" t="s">
        <v>66</v>
      </c>
      <c r="AM19" s="11" t="s">
        <v>67</v>
      </c>
      <c r="AN19" s="11" t="s">
        <v>99</v>
      </c>
    </row>
    <row r="20" spans="1:40" ht="45.6">
      <c r="A20" s="10">
        <v>32</v>
      </c>
      <c r="B20" s="10" t="s">
        <v>148</v>
      </c>
      <c r="C20" s="10" t="s">
        <v>149</v>
      </c>
      <c r="D20" s="10">
        <f t="shared" si="0"/>
        <v>2022</v>
      </c>
      <c r="E20" s="10" t="s">
        <v>96</v>
      </c>
      <c r="F20" s="10" t="s">
        <v>71</v>
      </c>
      <c r="G20" s="10" t="s">
        <v>72</v>
      </c>
      <c r="H20" s="10" t="s">
        <v>50</v>
      </c>
      <c r="I20" s="10" t="s">
        <v>48</v>
      </c>
      <c r="J20" s="10" t="s">
        <v>50</v>
      </c>
      <c r="K20" s="10" t="s">
        <v>50</v>
      </c>
      <c r="L20" s="10" t="s">
        <v>48</v>
      </c>
      <c r="M20" s="10" t="s">
        <v>150</v>
      </c>
      <c r="N20" s="10" t="s">
        <v>52</v>
      </c>
      <c r="O20" s="10" t="s">
        <v>74</v>
      </c>
      <c r="P20" s="10" t="s">
        <v>53</v>
      </c>
      <c r="Q20" s="10" t="s">
        <v>52</v>
      </c>
      <c r="R20" s="10" t="s">
        <v>74</v>
      </c>
      <c r="S20" s="10" t="s">
        <v>53</v>
      </c>
      <c r="T20" s="10" t="s">
        <v>55</v>
      </c>
      <c r="U20" s="10" t="s">
        <v>54</v>
      </c>
      <c r="V20" s="10" t="s">
        <v>56</v>
      </c>
      <c r="W20" s="10" t="s">
        <v>56</v>
      </c>
      <c r="X20" s="10" t="s">
        <v>56</v>
      </c>
      <c r="Y20" s="10" t="s">
        <v>56</v>
      </c>
      <c r="Z20" s="11" t="s">
        <v>118</v>
      </c>
      <c r="AA20" s="11" t="s">
        <v>76</v>
      </c>
      <c r="AB20" s="11" t="s">
        <v>59</v>
      </c>
      <c r="AC20" s="11" t="s">
        <v>60</v>
      </c>
      <c r="AD20" s="11" t="s">
        <v>55</v>
      </c>
      <c r="AE20" s="11" t="s">
        <v>59</v>
      </c>
      <c r="AF20" s="11" t="s">
        <v>60</v>
      </c>
      <c r="AG20" s="11" t="s">
        <v>103</v>
      </c>
      <c r="AH20" s="11" t="s">
        <v>63</v>
      </c>
      <c r="AI20" s="11" t="s">
        <v>64</v>
      </c>
      <c r="AJ20" s="11" t="s">
        <v>52</v>
      </c>
      <c r="AK20" s="11" t="s">
        <v>65</v>
      </c>
      <c r="AL20" s="11" t="s">
        <v>66</v>
      </c>
      <c r="AM20" s="11" t="s">
        <v>55</v>
      </c>
      <c r="AN20" s="11" t="s">
        <v>99</v>
      </c>
    </row>
    <row r="21" spans="1:40" ht="45.6">
      <c r="A21" s="10">
        <v>33</v>
      </c>
      <c r="B21" s="10" t="s">
        <v>151</v>
      </c>
      <c r="C21" s="10" t="s">
        <v>152</v>
      </c>
      <c r="D21" s="10">
        <f t="shared" si="0"/>
        <v>2021</v>
      </c>
      <c r="E21" s="10" t="s">
        <v>45</v>
      </c>
      <c r="F21" s="10" t="s">
        <v>50</v>
      </c>
      <c r="G21" s="10" t="s">
        <v>50</v>
      </c>
      <c r="H21" s="10" t="s">
        <v>50</v>
      </c>
      <c r="I21" s="10" t="s">
        <v>50</v>
      </c>
      <c r="J21" s="10" t="s">
        <v>50</v>
      </c>
      <c r="K21" s="10" t="s">
        <v>50</v>
      </c>
      <c r="L21" s="10" t="s">
        <v>50</v>
      </c>
      <c r="M21" s="10" t="s">
        <v>83</v>
      </c>
      <c r="N21" s="10" t="s">
        <v>50</v>
      </c>
      <c r="O21" s="10" t="s">
        <v>50</v>
      </c>
      <c r="P21" s="10" t="s">
        <v>50</v>
      </c>
      <c r="Q21" s="10" t="s">
        <v>50</v>
      </c>
      <c r="R21" s="10" t="s">
        <v>53</v>
      </c>
      <c r="S21" s="10" t="s">
        <v>50</v>
      </c>
      <c r="T21" s="10" t="s">
        <v>108</v>
      </c>
      <c r="U21" s="10" t="s">
        <v>108</v>
      </c>
      <c r="V21" s="10" t="s">
        <v>108</v>
      </c>
      <c r="W21" s="10" t="s">
        <v>108</v>
      </c>
      <c r="X21" s="10" t="s">
        <v>108</v>
      </c>
      <c r="Y21" s="10" t="s">
        <v>108</v>
      </c>
      <c r="Z21" s="11" t="s">
        <v>113</v>
      </c>
      <c r="AA21" s="11" t="s">
        <v>85</v>
      </c>
      <c r="AB21" s="11" t="s">
        <v>144</v>
      </c>
      <c r="AC21" s="11" t="s">
        <v>144</v>
      </c>
      <c r="AD21" s="11" t="s">
        <v>144</v>
      </c>
      <c r="AE21" s="11" t="s">
        <v>144</v>
      </c>
      <c r="AF21" s="11" t="s">
        <v>144</v>
      </c>
      <c r="AG21" s="11" t="s">
        <v>129</v>
      </c>
      <c r="AH21" s="11" t="s">
        <v>104</v>
      </c>
      <c r="AI21" s="11" t="s">
        <v>64</v>
      </c>
      <c r="AJ21" s="11" t="s">
        <v>52</v>
      </c>
      <c r="AK21" s="11" t="s">
        <v>65</v>
      </c>
      <c r="AL21" s="11" t="s">
        <v>66</v>
      </c>
      <c r="AM21" s="11" t="s">
        <v>124</v>
      </c>
      <c r="AN21" s="11" t="s">
        <v>68</v>
      </c>
    </row>
    <row r="22" spans="1:40" ht="45.6">
      <c r="A22" s="10">
        <v>34</v>
      </c>
      <c r="B22" s="10" t="s">
        <v>153</v>
      </c>
      <c r="C22" s="10" t="s">
        <v>154</v>
      </c>
      <c r="D22" s="10">
        <f t="shared" si="0"/>
        <v>2025</v>
      </c>
      <c r="E22" s="10" t="s">
        <v>45</v>
      </c>
      <c r="F22" s="10" t="s">
        <v>50</v>
      </c>
      <c r="G22" s="10" t="s">
        <v>50</v>
      </c>
      <c r="H22" s="10" t="s">
        <v>50</v>
      </c>
      <c r="I22" s="10" t="s">
        <v>50</v>
      </c>
      <c r="J22" s="10" t="s">
        <v>50</v>
      </c>
      <c r="K22" s="10" t="s">
        <v>50</v>
      </c>
      <c r="L22" s="10" t="s">
        <v>50</v>
      </c>
      <c r="M22" s="10" t="s">
        <v>51</v>
      </c>
      <c r="N22" s="10" t="s">
        <v>48</v>
      </c>
      <c r="O22" s="10" t="s">
        <v>48</v>
      </c>
      <c r="P22" s="10" t="s">
        <v>48</v>
      </c>
      <c r="Q22" s="10" t="s">
        <v>48</v>
      </c>
      <c r="R22" s="10" t="s">
        <v>48</v>
      </c>
      <c r="S22" s="10" t="s">
        <v>48</v>
      </c>
      <c r="T22" s="10" t="s">
        <v>55</v>
      </c>
      <c r="U22" s="10" t="s">
        <v>55</v>
      </c>
      <c r="V22" s="10" t="s">
        <v>55</v>
      </c>
      <c r="W22" s="10" t="s">
        <v>55</v>
      </c>
      <c r="X22" s="10" t="s">
        <v>55</v>
      </c>
      <c r="Y22" s="10" t="s">
        <v>55</v>
      </c>
      <c r="Z22" s="11" t="s">
        <v>128</v>
      </c>
      <c r="AA22" s="11" t="s">
        <v>85</v>
      </c>
      <c r="AB22" s="11" t="s">
        <v>61</v>
      </c>
      <c r="AC22" s="11" t="s">
        <v>61</v>
      </c>
      <c r="AD22" s="11" t="s">
        <v>61</v>
      </c>
      <c r="AE22" s="11" t="s">
        <v>61</v>
      </c>
      <c r="AF22" s="11" t="s">
        <v>61</v>
      </c>
      <c r="AG22" s="11" t="s">
        <v>91</v>
      </c>
      <c r="AH22" s="11" t="s">
        <v>63</v>
      </c>
      <c r="AI22" s="11" t="s">
        <v>120</v>
      </c>
      <c r="AJ22" s="11" t="s">
        <v>52</v>
      </c>
      <c r="AK22" s="11" t="s">
        <v>80</v>
      </c>
      <c r="AL22" s="11" t="s">
        <v>92</v>
      </c>
      <c r="AM22" s="11" t="s">
        <v>155</v>
      </c>
      <c r="AN22" s="11" t="s">
        <v>93</v>
      </c>
    </row>
    <row r="23" spans="1:40" ht="57">
      <c r="A23" s="10">
        <v>35</v>
      </c>
      <c r="B23" s="10" t="s">
        <v>156</v>
      </c>
      <c r="C23" s="10" t="s">
        <v>157</v>
      </c>
      <c r="D23" s="10">
        <f t="shared" si="0"/>
        <v>2019</v>
      </c>
      <c r="E23" s="10" t="s">
        <v>45</v>
      </c>
      <c r="F23" s="10" t="s">
        <v>158</v>
      </c>
      <c r="G23" s="10" t="s">
        <v>47</v>
      </c>
      <c r="H23" s="10" t="s">
        <v>48</v>
      </c>
      <c r="I23" s="10" t="s">
        <v>48</v>
      </c>
      <c r="J23" s="10" t="s">
        <v>48</v>
      </c>
      <c r="K23" s="10" t="s">
        <v>50</v>
      </c>
      <c r="L23" s="10" t="s">
        <v>50</v>
      </c>
      <c r="M23" s="10" t="s">
        <v>51</v>
      </c>
      <c r="N23" s="10" t="s">
        <v>50</v>
      </c>
      <c r="O23" s="10" t="s">
        <v>50</v>
      </c>
      <c r="P23" s="10" t="s">
        <v>50</v>
      </c>
      <c r="Q23" s="10" t="s">
        <v>50</v>
      </c>
      <c r="R23" s="10" t="s">
        <v>50</v>
      </c>
      <c r="S23" s="10" t="s">
        <v>50</v>
      </c>
      <c r="T23" s="10" t="s">
        <v>108</v>
      </c>
      <c r="U23" s="10" t="s">
        <v>108</v>
      </c>
      <c r="V23" s="10" t="s">
        <v>97</v>
      </c>
      <c r="W23" s="10" t="s">
        <v>97</v>
      </c>
      <c r="X23" s="10" t="s">
        <v>97</v>
      </c>
      <c r="Y23" s="10" t="s">
        <v>97</v>
      </c>
      <c r="Z23" s="11" t="s">
        <v>141</v>
      </c>
      <c r="AA23" s="11" t="s">
        <v>76</v>
      </c>
      <c r="AB23" s="11" t="s">
        <v>55</v>
      </c>
      <c r="AC23" s="11" t="s">
        <v>144</v>
      </c>
      <c r="AD23" s="11" t="s">
        <v>144</v>
      </c>
      <c r="AE23" s="11" t="s">
        <v>144</v>
      </c>
      <c r="AF23" s="11" t="s">
        <v>144</v>
      </c>
      <c r="AG23" s="11" t="s">
        <v>62</v>
      </c>
      <c r="AH23" s="11" t="s">
        <v>159</v>
      </c>
      <c r="AI23" s="11" t="s">
        <v>64</v>
      </c>
      <c r="AJ23" s="11" t="s">
        <v>52</v>
      </c>
      <c r="AK23" s="11" t="s">
        <v>65</v>
      </c>
      <c r="AL23" s="11" t="s">
        <v>66</v>
      </c>
      <c r="AM23" s="11" t="s">
        <v>124</v>
      </c>
      <c r="AN23" s="11" t="s">
        <v>110</v>
      </c>
    </row>
    <row r="24" spans="1:40" ht="45.6">
      <c r="A24" s="10">
        <v>36</v>
      </c>
      <c r="B24" s="10" t="s">
        <v>160</v>
      </c>
      <c r="C24" s="10" t="s">
        <v>161</v>
      </c>
      <c r="D24" s="10">
        <f t="shared" si="0"/>
        <v>2024</v>
      </c>
      <c r="E24" s="10" t="s">
        <v>96</v>
      </c>
      <c r="F24" s="10" t="s">
        <v>71</v>
      </c>
      <c r="G24" s="10" t="s">
        <v>72</v>
      </c>
      <c r="H24" s="10" t="s">
        <v>48</v>
      </c>
      <c r="I24" s="10" t="s">
        <v>48</v>
      </c>
      <c r="J24" s="10" t="s">
        <v>50</v>
      </c>
      <c r="K24" s="10" t="s">
        <v>50</v>
      </c>
      <c r="L24" s="10" t="s">
        <v>49</v>
      </c>
      <c r="M24" s="10" t="s">
        <v>51</v>
      </c>
      <c r="N24" s="10" t="s">
        <v>53</v>
      </c>
      <c r="O24" s="10" t="s">
        <v>53</v>
      </c>
      <c r="P24" s="10" t="s">
        <v>52</v>
      </c>
      <c r="Q24" s="10" t="s">
        <v>74</v>
      </c>
      <c r="R24" s="10" t="s">
        <v>74</v>
      </c>
      <c r="S24" s="10" t="s">
        <v>48</v>
      </c>
      <c r="T24" s="10" t="s">
        <v>54</v>
      </c>
      <c r="U24" s="10" t="s">
        <v>55</v>
      </c>
      <c r="V24" s="10" t="s">
        <v>55</v>
      </c>
      <c r="W24" s="10" t="s">
        <v>54</v>
      </c>
      <c r="X24" s="10" t="s">
        <v>55</v>
      </c>
      <c r="Y24" s="10" t="s">
        <v>97</v>
      </c>
      <c r="Z24" s="11" t="s">
        <v>143</v>
      </c>
      <c r="AA24" s="11" t="s">
        <v>76</v>
      </c>
      <c r="AB24" s="11" t="s">
        <v>59</v>
      </c>
      <c r="AC24" s="11" t="s">
        <v>59</v>
      </c>
      <c r="AD24" s="11" t="s">
        <v>55</v>
      </c>
      <c r="AE24" s="11" t="s">
        <v>60</v>
      </c>
      <c r="AF24" s="11" t="s">
        <v>55</v>
      </c>
      <c r="AG24" s="11" t="s">
        <v>62</v>
      </c>
      <c r="AH24" s="11" t="s">
        <v>78</v>
      </c>
      <c r="AI24" s="11" t="s">
        <v>79</v>
      </c>
      <c r="AJ24" s="11" t="s">
        <v>52</v>
      </c>
      <c r="AK24" s="11" t="s">
        <v>162</v>
      </c>
      <c r="AL24" s="11" t="s">
        <v>92</v>
      </c>
      <c r="AM24" s="11" t="s">
        <v>109</v>
      </c>
      <c r="AN24" s="11" t="s">
        <v>110</v>
      </c>
    </row>
    <row r="25" spans="1:40" ht="45.6">
      <c r="A25" s="10">
        <v>37</v>
      </c>
      <c r="B25" s="10" t="s">
        <v>163</v>
      </c>
      <c r="C25" s="10" t="s">
        <v>164</v>
      </c>
      <c r="D25" s="10">
        <f t="shared" si="0"/>
        <v>2021</v>
      </c>
      <c r="E25" s="10" t="s">
        <v>96</v>
      </c>
      <c r="F25" s="10" t="s">
        <v>71</v>
      </c>
      <c r="G25" s="10" t="s">
        <v>72</v>
      </c>
      <c r="H25" s="10" t="s">
        <v>50</v>
      </c>
      <c r="I25" s="10" t="s">
        <v>50</v>
      </c>
      <c r="J25" s="10" t="s">
        <v>48</v>
      </c>
      <c r="K25" s="10" t="s">
        <v>48</v>
      </c>
      <c r="L25" s="10" t="s">
        <v>50</v>
      </c>
      <c r="M25" s="10" t="s">
        <v>83</v>
      </c>
      <c r="N25" s="10" t="s">
        <v>48</v>
      </c>
      <c r="O25" s="10" t="s">
        <v>74</v>
      </c>
      <c r="P25" s="10" t="s">
        <v>74</v>
      </c>
      <c r="Q25" s="10" t="s">
        <v>74</v>
      </c>
      <c r="R25" s="10" t="s">
        <v>74</v>
      </c>
      <c r="S25" s="10" t="s">
        <v>53</v>
      </c>
      <c r="T25" s="10" t="s">
        <v>56</v>
      </c>
      <c r="U25" s="10" t="s">
        <v>56</v>
      </c>
      <c r="V25" s="10" t="s">
        <v>55</v>
      </c>
      <c r="W25" s="10" t="s">
        <v>54</v>
      </c>
      <c r="X25" s="10" t="s">
        <v>54</v>
      </c>
      <c r="Y25" s="10" t="s">
        <v>54</v>
      </c>
      <c r="Z25" s="11" t="s">
        <v>118</v>
      </c>
      <c r="AA25" s="11" t="s">
        <v>76</v>
      </c>
      <c r="AB25" s="11" t="s">
        <v>59</v>
      </c>
      <c r="AC25" s="11" t="s">
        <v>59</v>
      </c>
      <c r="AD25" s="11" t="s">
        <v>60</v>
      </c>
      <c r="AE25" s="11" t="s">
        <v>59</v>
      </c>
      <c r="AF25" s="11" t="s">
        <v>59</v>
      </c>
      <c r="AG25" s="11" t="s">
        <v>129</v>
      </c>
      <c r="AH25" s="11" t="s">
        <v>78</v>
      </c>
      <c r="AI25" s="11" t="s">
        <v>120</v>
      </c>
      <c r="AJ25" s="11" t="s">
        <v>48</v>
      </c>
      <c r="AK25" s="11" t="s">
        <v>80</v>
      </c>
      <c r="AL25" s="11" t="s">
        <v>165</v>
      </c>
      <c r="AM25" s="11" t="s">
        <v>109</v>
      </c>
      <c r="AN25" s="11" t="s">
        <v>110</v>
      </c>
    </row>
    <row r="26" spans="1:40" ht="45.6">
      <c r="A26" s="10">
        <v>38</v>
      </c>
      <c r="B26" s="10" t="s">
        <v>166</v>
      </c>
      <c r="C26" s="12">
        <v>1214121</v>
      </c>
      <c r="D26" s="10">
        <f t="shared" si="0"/>
        <v>2021</v>
      </c>
      <c r="E26" s="10" t="s">
        <v>96</v>
      </c>
      <c r="F26" s="10" t="s">
        <v>46</v>
      </c>
      <c r="G26" s="10" t="s">
        <v>48</v>
      </c>
      <c r="H26" s="10" t="s">
        <v>48</v>
      </c>
      <c r="I26" s="10" t="s">
        <v>49</v>
      </c>
      <c r="J26" s="10" t="s">
        <v>50</v>
      </c>
      <c r="K26" s="10" t="s">
        <v>50</v>
      </c>
      <c r="L26" s="10" t="s">
        <v>50</v>
      </c>
      <c r="M26" s="10" t="s">
        <v>51</v>
      </c>
      <c r="N26" s="10" t="s">
        <v>52</v>
      </c>
      <c r="O26" s="10" t="s">
        <v>52</v>
      </c>
      <c r="P26" s="10" t="s">
        <v>48</v>
      </c>
      <c r="Q26" s="10" t="s">
        <v>52</v>
      </c>
      <c r="R26" s="10" t="s">
        <v>48</v>
      </c>
      <c r="S26" s="10" t="s">
        <v>53</v>
      </c>
      <c r="T26" s="10" t="s">
        <v>54</v>
      </c>
      <c r="U26" s="10" t="s">
        <v>54</v>
      </c>
      <c r="V26" s="10" t="s">
        <v>54</v>
      </c>
      <c r="W26" s="10" t="s">
        <v>54</v>
      </c>
      <c r="X26" s="10" t="s">
        <v>56</v>
      </c>
      <c r="Y26" s="10" t="s">
        <v>54</v>
      </c>
      <c r="Z26" s="11" t="s">
        <v>118</v>
      </c>
      <c r="AA26" s="11" t="s">
        <v>76</v>
      </c>
      <c r="AB26" s="11" t="s">
        <v>59</v>
      </c>
      <c r="AC26" s="11" t="s">
        <v>60</v>
      </c>
      <c r="AD26" s="11" t="s">
        <v>55</v>
      </c>
      <c r="AE26" s="11" t="s">
        <v>60</v>
      </c>
      <c r="AF26" s="11" t="s">
        <v>60</v>
      </c>
      <c r="AG26" s="11" t="s">
        <v>91</v>
      </c>
      <c r="AH26" s="11" t="s">
        <v>167</v>
      </c>
      <c r="AI26" s="11" t="s">
        <v>120</v>
      </c>
      <c r="AJ26" s="11" t="s">
        <v>53</v>
      </c>
      <c r="AK26" s="11" t="s">
        <v>65</v>
      </c>
      <c r="AL26" s="11" t="s">
        <v>86</v>
      </c>
      <c r="AM26" s="11" t="s">
        <v>124</v>
      </c>
      <c r="AN26" s="11" t="s">
        <v>110</v>
      </c>
    </row>
    <row r="27" spans="1:40" ht="57">
      <c r="A27" s="10">
        <v>39</v>
      </c>
      <c r="B27" s="10" t="s">
        <v>168</v>
      </c>
      <c r="C27" s="12">
        <v>1070022</v>
      </c>
      <c r="D27" s="10">
        <f t="shared" si="0"/>
        <v>2022</v>
      </c>
      <c r="E27" s="10" t="s">
        <v>45</v>
      </c>
      <c r="F27" s="10" t="s">
        <v>46</v>
      </c>
      <c r="G27" s="10" t="s">
        <v>49</v>
      </c>
      <c r="H27" s="10" t="s">
        <v>50</v>
      </c>
      <c r="I27" s="10" t="s">
        <v>72</v>
      </c>
      <c r="J27" s="10" t="s">
        <v>50</v>
      </c>
      <c r="K27" s="10" t="s">
        <v>50</v>
      </c>
      <c r="L27" s="10" t="s">
        <v>49</v>
      </c>
      <c r="M27" s="10" t="s">
        <v>51</v>
      </c>
      <c r="N27" s="10" t="s">
        <v>53</v>
      </c>
      <c r="O27" s="10" t="s">
        <v>48</v>
      </c>
      <c r="P27" s="10" t="s">
        <v>48</v>
      </c>
      <c r="Q27" s="10" t="s">
        <v>48</v>
      </c>
      <c r="R27" s="10" t="s">
        <v>52</v>
      </c>
      <c r="S27" s="10" t="s">
        <v>48</v>
      </c>
      <c r="T27" s="10" t="s">
        <v>56</v>
      </c>
      <c r="U27" s="10" t="s">
        <v>56</v>
      </c>
      <c r="V27" s="10" t="s">
        <v>56</v>
      </c>
      <c r="W27" s="10" t="s">
        <v>56</v>
      </c>
      <c r="X27" s="10" t="s">
        <v>55</v>
      </c>
      <c r="Y27" s="10" t="s">
        <v>56</v>
      </c>
      <c r="Z27" s="11" t="s">
        <v>118</v>
      </c>
      <c r="AA27" s="11" t="s">
        <v>76</v>
      </c>
      <c r="AB27" s="11" t="s">
        <v>60</v>
      </c>
      <c r="AC27" s="11" t="s">
        <v>60</v>
      </c>
      <c r="AD27" s="11" t="s">
        <v>55</v>
      </c>
      <c r="AE27" s="11" t="s">
        <v>60</v>
      </c>
      <c r="AF27" s="11" t="s">
        <v>55</v>
      </c>
      <c r="AG27" s="11" t="s">
        <v>169</v>
      </c>
      <c r="AH27" s="11" t="s">
        <v>78</v>
      </c>
      <c r="AI27" s="11" t="s">
        <v>64</v>
      </c>
      <c r="AJ27" s="11" t="s">
        <v>74</v>
      </c>
      <c r="AK27" s="11" t="s">
        <v>65</v>
      </c>
      <c r="AL27" s="11" t="s">
        <v>66</v>
      </c>
      <c r="AM27" s="11" t="s">
        <v>124</v>
      </c>
      <c r="AN27" s="11" t="s">
        <v>110</v>
      </c>
    </row>
    <row r="28" spans="1:40" ht="45.6">
      <c r="A28" s="10">
        <v>40</v>
      </c>
      <c r="B28" s="10" t="s">
        <v>170</v>
      </c>
      <c r="C28" s="10" t="s">
        <v>171</v>
      </c>
      <c r="D28" s="10">
        <f t="shared" si="0"/>
        <v>2026</v>
      </c>
      <c r="E28" s="10" t="s">
        <v>96</v>
      </c>
      <c r="F28" s="10" t="s">
        <v>71</v>
      </c>
      <c r="G28" s="10" t="s">
        <v>49</v>
      </c>
      <c r="H28" s="10" t="s">
        <v>48</v>
      </c>
      <c r="I28" s="10" t="s">
        <v>72</v>
      </c>
      <c r="J28" s="10" t="s">
        <v>50</v>
      </c>
      <c r="K28" s="10" t="s">
        <v>50</v>
      </c>
      <c r="L28" s="10" t="s">
        <v>48</v>
      </c>
      <c r="M28" s="10" t="s">
        <v>89</v>
      </c>
      <c r="N28" s="10" t="s">
        <v>52</v>
      </c>
      <c r="O28" s="10" t="s">
        <v>52</v>
      </c>
      <c r="P28" s="10" t="s">
        <v>52</v>
      </c>
      <c r="Q28" s="10" t="s">
        <v>52</v>
      </c>
      <c r="R28" s="10" t="s">
        <v>52</v>
      </c>
      <c r="S28" s="10" t="s">
        <v>53</v>
      </c>
      <c r="T28" s="10" t="s">
        <v>54</v>
      </c>
      <c r="U28" s="10" t="s">
        <v>54</v>
      </c>
      <c r="V28" s="10" t="s">
        <v>56</v>
      </c>
      <c r="W28" s="10" t="s">
        <v>56</v>
      </c>
      <c r="X28" s="10" t="s">
        <v>55</v>
      </c>
      <c r="Y28" s="10" t="s">
        <v>54</v>
      </c>
      <c r="Z28" s="11" t="s">
        <v>118</v>
      </c>
      <c r="AA28" s="11" t="s">
        <v>76</v>
      </c>
      <c r="AB28" s="11" t="s">
        <v>59</v>
      </c>
      <c r="AC28" s="11" t="s">
        <v>60</v>
      </c>
      <c r="AD28" s="11" t="s">
        <v>55</v>
      </c>
      <c r="AE28" s="11" t="s">
        <v>59</v>
      </c>
      <c r="AF28" s="11" t="s">
        <v>59</v>
      </c>
      <c r="AG28" s="11" t="s">
        <v>172</v>
      </c>
      <c r="AH28" s="11" t="s">
        <v>78</v>
      </c>
      <c r="AI28" s="11" t="s">
        <v>64</v>
      </c>
      <c r="AJ28" s="11" t="s">
        <v>53</v>
      </c>
      <c r="AK28" s="11" t="s">
        <v>65</v>
      </c>
      <c r="AL28" s="11" t="s">
        <v>86</v>
      </c>
      <c r="AM28" s="11" t="s">
        <v>124</v>
      </c>
      <c r="AN28" s="11" t="s">
        <v>99</v>
      </c>
    </row>
    <row r="29" spans="1:40" ht="57">
      <c r="A29" s="10">
        <v>41</v>
      </c>
      <c r="B29" s="10" t="s">
        <v>173</v>
      </c>
      <c r="C29" s="10" t="s">
        <v>174</v>
      </c>
      <c r="D29" s="10">
        <f t="shared" si="0"/>
        <v>2023</v>
      </c>
      <c r="E29" s="10" t="s">
        <v>45</v>
      </c>
      <c r="F29" s="10" t="s">
        <v>46</v>
      </c>
      <c r="G29" s="10" t="s">
        <v>48</v>
      </c>
      <c r="H29" s="10" t="s">
        <v>50</v>
      </c>
      <c r="I29" s="10" t="s">
        <v>48</v>
      </c>
      <c r="J29" s="10" t="s">
        <v>50</v>
      </c>
      <c r="K29" s="10" t="s">
        <v>50</v>
      </c>
      <c r="L29" s="10" t="s">
        <v>49</v>
      </c>
      <c r="M29" s="10" t="s">
        <v>89</v>
      </c>
      <c r="N29" s="10" t="s">
        <v>48</v>
      </c>
      <c r="O29" s="10" t="s">
        <v>53</v>
      </c>
      <c r="P29" s="10" t="s">
        <v>53</v>
      </c>
      <c r="Q29" s="10" t="s">
        <v>53</v>
      </c>
      <c r="R29" s="10" t="s">
        <v>53</v>
      </c>
      <c r="S29" s="10" t="s">
        <v>53</v>
      </c>
      <c r="T29" s="10" t="s">
        <v>55</v>
      </c>
      <c r="U29" s="10" t="s">
        <v>55</v>
      </c>
      <c r="V29" s="10" t="s">
        <v>56</v>
      </c>
      <c r="W29" s="10" t="s">
        <v>56</v>
      </c>
      <c r="X29" s="10" t="s">
        <v>56</v>
      </c>
      <c r="Y29" s="10" t="s">
        <v>55</v>
      </c>
      <c r="Z29" s="11" t="s">
        <v>141</v>
      </c>
      <c r="AA29" s="11" t="s">
        <v>76</v>
      </c>
      <c r="AB29" s="11" t="s">
        <v>55</v>
      </c>
      <c r="AC29" s="11" t="s">
        <v>55</v>
      </c>
      <c r="AD29" s="11" t="s">
        <v>55</v>
      </c>
      <c r="AE29" s="11" t="s">
        <v>60</v>
      </c>
      <c r="AF29" s="11" t="s">
        <v>60</v>
      </c>
      <c r="AG29" s="11" t="s">
        <v>145</v>
      </c>
      <c r="AH29" s="11" t="s">
        <v>63</v>
      </c>
      <c r="AI29" s="11" t="s">
        <v>79</v>
      </c>
      <c r="AJ29" s="11" t="s">
        <v>74</v>
      </c>
      <c r="AK29" s="11" t="s">
        <v>65</v>
      </c>
      <c r="AL29" s="11" t="s">
        <v>92</v>
      </c>
      <c r="AM29" s="11" t="s">
        <v>55</v>
      </c>
      <c r="AN29" s="11" t="s">
        <v>68</v>
      </c>
    </row>
    <row r="30" spans="1:40" ht="45.6">
      <c r="A30" s="10">
        <v>42</v>
      </c>
      <c r="B30" s="10" t="s">
        <v>175</v>
      </c>
      <c r="C30" s="10" t="s">
        <v>176</v>
      </c>
      <c r="D30" s="10">
        <f t="shared" si="0"/>
        <v>2022</v>
      </c>
      <c r="E30" s="10" t="s">
        <v>45</v>
      </c>
      <c r="F30" s="10" t="s">
        <v>46</v>
      </c>
      <c r="G30" s="10" t="s">
        <v>49</v>
      </c>
      <c r="H30" s="10" t="s">
        <v>48</v>
      </c>
      <c r="I30" s="10" t="s">
        <v>47</v>
      </c>
      <c r="J30" s="10" t="s">
        <v>50</v>
      </c>
      <c r="K30" s="10" t="s">
        <v>50</v>
      </c>
      <c r="L30" s="10" t="s">
        <v>47</v>
      </c>
      <c r="M30" s="10" t="s">
        <v>89</v>
      </c>
      <c r="N30" s="10" t="s">
        <v>52</v>
      </c>
      <c r="O30" s="10" t="s">
        <v>52</v>
      </c>
      <c r="P30" s="10" t="s">
        <v>52</v>
      </c>
      <c r="Q30" s="10" t="s">
        <v>52</v>
      </c>
      <c r="R30" s="10" t="s">
        <v>52</v>
      </c>
      <c r="S30" s="10" t="s">
        <v>52</v>
      </c>
      <c r="T30" s="10" t="s">
        <v>56</v>
      </c>
      <c r="U30" s="10" t="s">
        <v>56</v>
      </c>
      <c r="V30" s="10" t="s">
        <v>56</v>
      </c>
      <c r="W30" s="10" t="s">
        <v>56</v>
      </c>
      <c r="X30" s="10" t="s">
        <v>56</v>
      </c>
      <c r="Y30" s="10" t="s">
        <v>56</v>
      </c>
      <c r="Z30" s="11" t="s">
        <v>118</v>
      </c>
      <c r="AA30" s="11" t="s">
        <v>76</v>
      </c>
      <c r="AB30" s="11" t="s">
        <v>60</v>
      </c>
      <c r="AC30" s="11" t="s">
        <v>60</v>
      </c>
      <c r="AD30" s="11" t="s">
        <v>60</v>
      </c>
      <c r="AE30" s="11" t="s">
        <v>60</v>
      </c>
      <c r="AF30" s="11" t="s">
        <v>60</v>
      </c>
      <c r="AG30" s="11" t="s">
        <v>129</v>
      </c>
      <c r="AH30" s="11" t="s">
        <v>78</v>
      </c>
      <c r="AI30" s="11" t="s">
        <v>64</v>
      </c>
      <c r="AJ30" s="11" t="s">
        <v>52</v>
      </c>
      <c r="AK30" s="11" t="s">
        <v>65</v>
      </c>
      <c r="AL30" s="11" t="s">
        <v>66</v>
      </c>
      <c r="AM30" s="11" t="s">
        <v>124</v>
      </c>
      <c r="AN30" s="11" t="s">
        <v>110</v>
      </c>
    </row>
    <row r="31" spans="1:40" ht="45.6">
      <c r="A31" s="10">
        <v>43</v>
      </c>
      <c r="B31" s="10" t="s">
        <v>177</v>
      </c>
      <c r="C31" s="10" t="s">
        <v>178</v>
      </c>
      <c r="D31" s="10">
        <f t="shared" si="0"/>
        <v>2025</v>
      </c>
      <c r="E31" s="10" t="s">
        <v>96</v>
      </c>
      <c r="F31" s="10" t="s">
        <v>127</v>
      </c>
      <c r="G31" s="10" t="s">
        <v>47</v>
      </c>
      <c r="H31" s="10" t="s">
        <v>50</v>
      </c>
      <c r="I31" s="10" t="s">
        <v>47</v>
      </c>
      <c r="J31" s="10" t="s">
        <v>50</v>
      </c>
      <c r="K31" s="10" t="s">
        <v>50</v>
      </c>
      <c r="L31" s="10" t="s">
        <v>50</v>
      </c>
      <c r="M31" s="10" t="s">
        <v>51</v>
      </c>
      <c r="N31" s="10" t="s">
        <v>52</v>
      </c>
      <c r="O31" s="10" t="s">
        <v>52</v>
      </c>
      <c r="P31" s="10" t="s">
        <v>53</v>
      </c>
      <c r="Q31" s="10" t="s">
        <v>53</v>
      </c>
      <c r="R31" s="10" t="s">
        <v>48</v>
      </c>
      <c r="S31" s="10" t="s">
        <v>50</v>
      </c>
      <c r="T31" s="10" t="s">
        <v>56</v>
      </c>
      <c r="U31" s="10" t="s">
        <v>56</v>
      </c>
      <c r="V31" s="10" t="s">
        <v>56</v>
      </c>
      <c r="W31" s="10" t="s">
        <v>56</v>
      </c>
      <c r="X31" s="10" t="s">
        <v>56</v>
      </c>
      <c r="Y31" s="10" t="s">
        <v>55</v>
      </c>
      <c r="Z31" s="11" t="s">
        <v>128</v>
      </c>
      <c r="AA31" s="11" t="s">
        <v>85</v>
      </c>
      <c r="AB31" s="11" t="s">
        <v>60</v>
      </c>
      <c r="AC31" s="11" t="s">
        <v>55</v>
      </c>
      <c r="AD31" s="11" t="s">
        <v>55</v>
      </c>
      <c r="AE31" s="11" t="s">
        <v>55</v>
      </c>
      <c r="AF31" s="11" t="s">
        <v>55</v>
      </c>
      <c r="AG31" s="11" t="s">
        <v>91</v>
      </c>
      <c r="AH31" s="11" t="s">
        <v>78</v>
      </c>
      <c r="AI31" s="11" t="s">
        <v>79</v>
      </c>
      <c r="AJ31" s="11" t="s">
        <v>74</v>
      </c>
      <c r="AK31" s="11" t="s">
        <v>65</v>
      </c>
      <c r="AL31" s="11" t="s">
        <v>92</v>
      </c>
      <c r="AM31" s="11" t="s">
        <v>124</v>
      </c>
      <c r="AN31" s="11" t="s">
        <v>110</v>
      </c>
    </row>
    <row r="32" spans="1:40" ht="45.6">
      <c r="A32" s="10">
        <v>44</v>
      </c>
      <c r="B32" s="10" t="s">
        <v>179</v>
      </c>
      <c r="C32" s="10" t="s">
        <v>180</v>
      </c>
      <c r="D32" s="10">
        <f t="shared" si="0"/>
        <v>2022</v>
      </c>
      <c r="E32" s="10" t="s">
        <v>96</v>
      </c>
      <c r="F32" s="10" t="s">
        <v>71</v>
      </c>
      <c r="G32" s="10" t="s">
        <v>47</v>
      </c>
      <c r="H32" s="10" t="s">
        <v>50</v>
      </c>
      <c r="I32" s="10" t="s">
        <v>49</v>
      </c>
      <c r="J32" s="10" t="s">
        <v>50</v>
      </c>
      <c r="K32" s="10" t="s">
        <v>50</v>
      </c>
      <c r="L32" s="10" t="s">
        <v>48</v>
      </c>
      <c r="M32" s="10" t="s">
        <v>51</v>
      </c>
      <c r="N32" s="10" t="s">
        <v>52</v>
      </c>
      <c r="O32" s="10" t="s">
        <v>52</v>
      </c>
      <c r="P32" s="10" t="s">
        <v>53</v>
      </c>
      <c r="Q32" s="10" t="s">
        <v>53</v>
      </c>
      <c r="R32" s="10" t="s">
        <v>48</v>
      </c>
      <c r="S32" s="10" t="s">
        <v>50</v>
      </c>
      <c r="T32" s="10" t="s">
        <v>56</v>
      </c>
      <c r="U32" s="10" t="s">
        <v>56</v>
      </c>
      <c r="V32" s="10" t="s">
        <v>56</v>
      </c>
      <c r="W32" s="10" t="s">
        <v>56</v>
      </c>
      <c r="X32" s="10" t="s">
        <v>97</v>
      </c>
      <c r="Y32" s="10" t="s">
        <v>55</v>
      </c>
      <c r="Z32" s="11" t="s">
        <v>118</v>
      </c>
      <c r="AA32" s="11" t="s">
        <v>76</v>
      </c>
      <c r="AB32" s="11" t="s">
        <v>60</v>
      </c>
      <c r="AC32" s="11" t="s">
        <v>60</v>
      </c>
      <c r="AD32" s="11" t="s">
        <v>55</v>
      </c>
      <c r="AE32" s="11" t="s">
        <v>60</v>
      </c>
      <c r="AF32" s="11" t="s">
        <v>55</v>
      </c>
      <c r="AG32" s="11" t="s">
        <v>129</v>
      </c>
      <c r="AH32" s="11" t="s">
        <v>78</v>
      </c>
      <c r="AI32" s="11" t="s">
        <v>64</v>
      </c>
      <c r="AJ32" s="11" t="s">
        <v>52</v>
      </c>
      <c r="AK32" s="11" t="s">
        <v>65</v>
      </c>
      <c r="AL32" s="11" t="s">
        <v>66</v>
      </c>
      <c r="AM32" s="11" t="s">
        <v>124</v>
      </c>
      <c r="AN32" s="11" t="s">
        <v>110</v>
      </c>
    </row>
    <row r="33" spans="1:40" ht="45.6">
      <c r="A33" s="10">
        <v>45</v>
      </c>
      <c r="B33" s="10" t="s">
        <v>181</v>
      </c>
      <c r="C33" s="10" t="s">
        <v>182</v>
      </c>
      <c r="D33" s="10">
        <f t="shared" si="0"/>
        <v>2021</v>
      </c>
      <c r="E33" s="10" t="s">
        <v>96</v>
      </c>
      <c r="F33" s="10" t="s">
        <v>71</v>
      </c>
      <c r="G33" s="10" t="s">
        <v>49</v>
      </c>
      <c r="H33" s="10" t="s">
        <v>48</v>
      </c>
      <c r="I33" s="10" t="s">
        <v>47</v>
      </c>
      <c r="J33" s="10" t="s">
        <v>48</v>
      </c>
      <c r="K33" s="10" t="s">
        <v>50</v>
      </c>
      <c r="L33" s="10" t="s">
        <v>48</v>
      </c>
      <c r="M33" s="10" t="s">
        <v>89</v>
      </c>
      <c r="N33" s="10" t="s">
        <v>52</v>
      </c>
      <c r="O33" s="10" t="s">
        <v>48</v>
      </c>
      <c r="P33" s="10" t="s">
        <v>53</v>
      </c>
      <c r="Q33" s="10" t="s">
        <v>53</v>
      </c>
      <c r="R33" s="10" t="s">
        <v>48</v>
      </c>
      <c r="S33" s="10" t="s">
        <v>53</v>
      </c>
      <c r="T33" s="10" t="s">
        <v>56</v>
      </c>
      <c r="U33" s="10" t="s">
        <v>55</v>
      </c>
      <c r="V33" s="10" t="s">
        <v>55</v>
      </c>
      <c r="W33" s="10" t="s">
        <v>56</v>
      </c>
      <c r="X33" s="10" t="s">
        <v>108</v>
      </c>
      <c r="Y33" s="10" t="s">
        <v>56</v>
      </c>
      <c r="Z33" s="11" t="s">
        <v>143</v>
      </c>
      <c r="AA33" s="11" t="s">
        <v>76</v>
      </c>
      <c r="AB33" s="11" t="s">
        <v>59</v>
      </c>
      <c r="AC33" s="11" t="s">
        <v>55</v>
      </c>
      <c r="AD33" s="11" t="s">
        <v>61</v>
      </c>
      <c r="AE33" s="11" t="s">
        <v>60</v>
      </c>
      <c r="AF33" s="11" t="s">
        <v>55</v>
      </c>
      <c r="AG33" s="11" t="s">
        <v>91</v>
      </c>
      <c r="AH33" s="11" t="s">
        <v>63</v>
      </c>
      <c r="AI33" s="11" t="s">
        <v>79</v>
      </c>
      <c r="AJ33" s="11" t="s">
        <v>52</v>
      </c>
      <c r="AK33" s="11" t="s">
        <v>65</v>
      </c>
      <c r="AL33" s="11" t="s">
        <v>66</v>
      </c>
      <c r="AM33" s="11" t="s">
        <v>124</v>
      </c>
      <c r="AN33" s="11" t="s">
        <v>99</v>
      </c>
    </row>
    <row r="34" spans="1:40" ht="45.6">
      <c r="A34" s="10">
        <v>46</v>
      </c>
      <c r="B34" s="10" t="s">
        <v>183</v>
      </c>
      <c r="C34" s="10" t="s">
        <v>184</v>
      </c>
      <c r="D34" s="10">
        <f t="shared" ref="D34:D57" si="1">IFERROR(2000+VALUE(RIGHT(C34,2)),"Sin dato")</f>
        <v>2022</v>
      </c>
      <c r="E34" s="10" t="s">
        <v>96</v>
      </c>
      <c r="F34" s="10" t="s">
        <v>71</v>
      </c>
      <c r="G34" s="10" t="s">
        <v>49</v>
      </c>
      <c r="H34" s="10" t="s">
        <v>48</v>
      </c>
      <c r="I34" s="10" t="s">
        <v>47</v>
      </c>
      <c r="J34" s="10" t="s">
        <v>50</v>
      </c>
      <c r="K34" s="10" t="s">
        <v>48</v>
      </c>
      <c r="L34" s="10" t="s">
        <v>48</v>
      </c>
      <c r="M34" s="10" t="s">
        <v>51</v>
      </c>
      <c r="N34" s="10" t="s">
        <v>52</v>
      </c>
      <c r="O34" s="10" t="s">
        <v>53</v>
      </c>
      <c r="P34" s="10" t="s">
        <v>52</v>
      </c>
      <c r="Q34" s="10" t="s">
        <v>53</v>
      </c>
      <c r="R34" s="10" t="s">
        <v>48</v>
      </c>
      <c r="S34" s="10" t="s">
        <v>50</v>
      </c>
      <c r="T34" s="10" t="s">
        <v>56</v>
      </c>
      <c r="U34" s="10" t="s">
        <v>56</v>
      </c>
      <c r="V34" s="10" t="s">
        <v>55</v>
      </c>
      <c r="W34" s="10" t="s">
        <v>56</v>
      </c>
      <c r="X34" s="10" t="s">
        <v>97</v>
      </c>
      <c r="Y34" s="10" t="s">
        <v>97</v>
      </c>
      <c r="Z34" s="11" t="s">
        <v>102</v>
      </c>
      <c r="AA34" s="11" t="s">
        <v>85</v>
      </c>
      <c r="AB34" s="11" t="s">
        <v>60</v>
      </c>
      <c r="AC34" s="11" t="s">
        <v>55</v>
      </c>
      <c r="AD34" s="11" t="s">
        <v>55</v>
      </c>
      <c r="AE34" s="11" t="s">
        <v>60</v>
      </c>
      <c r="AF34" s="11" t="s">
        <v>60</v>
      </c>
      <c r="AG34" s="11" t="s">
        <v>185</v>
      </c>
      <c r="AH34" s="11" t="s">
        <v>78</v>
      </c>
      <c r="AI34" s="11" t="s">
        <v>64</v>
      </c>
      <c r="AJ34" s="11" t="s">
        <v>52</v>
      </c>
      <c r="AK34" s="11" t="s">
        <v>65</v>
      </c>
      <c r="AL34" s="11" t="s">
        <v>165</v>
      </c>
      <c r="AM34" s="11" t="s">
        <v>124</v>
      </c>
      <c r="AN34" s="11" t="s">
        <v>99</v>
      </c>
    </row>
    <row r="35" spans="1:40" ht="57">
      <c r="A35" s="10">
        <v>47</v>
      </c>
      <c r="B35" s="10" t="s">
        <v>186</v>
      </c>
      <c r="C35" s="10" t="s">
        <v>187</v>
      </c>
      <c r="D35" s="10">
        <f t="shared" si="1"/>
        <v>2017</v>
      </c>
      <c r="E35" s="10" t="s">
        <v>96</v>
      </c>
      <c r="F35" s="10" t="s">
        <v>46</v>
      </c>
      <c r="G35" s="10" t="s">
        <v>49</v>
      </c>
      <c r="H35" s="10" t="s">
        <v>50</v>
      </c>
      <c r="I35" s="10" t="s">
        <v>50</v>
      </c>
      <c r="J35" s="10" t="s">
        <v>50</v>
      </c>
      <c r="K35" s="10" t="s">
        <v>50</v>
      </c>
      <c r="L35" s="10" t="s">
        <v>47</v>
      </c>
      <c r="M35" s="10" t="s">
        <v>89</v>
      </c>
      <c r="N35" s="10" t="s">
        <v>52</v>
      </c>
      <c r="O35" s="10" t="s">
        <v>53</v>
      </c>
      <c r="P35" s="10" t="s">
        <v>74</v>
      </c>
      <c r="Q35" s="10" t="s">
        <v>53</v>
      </c>
      <c r="R35" s="10" t="s">
        <v>53</v>
      </c>
      <c r="S35" s="10" t="s">
        <v>48</v>
      </c>
      <c r="T35" s="10" t="s">
        <v>56</v>
      </c>
      <c r="U35" s="10" t="s">
        <v>55</v>
      </c>
      <c r="V35" s="10" t="s">
        <v>56</v>
      </c>
      <c r="W35" s="10" t="s">
        <v>56</v>
      </c>
      <c r="X35" s="10" t="s">
        <v>97</v>
      </c>
      <c r="Y35" s="10" t="s">
        <v>55</v>
      </c>
      <c r="Z35" s="11" t="s">
        <v>57</v>
      </c>
      <c r="AA35" s="11" t="s">
        <v>58</v>
      </c>
      <c r="AB35" s="11" t="s">
        <v>59</v>
      </c>
      <c r="AC35" s="11" t="s">
        <v>60</v>
      </c>
      <c r="AD35" s="11" t="s">
        <v>55</v>
      </c>
      <c r="AE35" s="11" t="s">
        <v>60</v>
      </c>
      <c r="AF35" s="11" t="s">
        <v>60</v>
      </c>
      <c r="AG35" s="11" t="s">
        <v>185</v>
      </c>
      <c r="AH35" s="11" t="s">
        <v>63</v>
      </c>
      <c r="AI35" s="11" t="s">
        <v>79</v>
      </c>
      <c r="AJ35" s="11" t="s">
        <v>53</v>
      </c>
      <c r="AK35" s="11" t="s">
        <v>80</v>
      </c>
      <c r="AL35" s="11" t="s">
        <v>86</v>
      </c>
      <c r="AM35" s="11" t="s">
        <v>67</v>
      </c>
      <c r="AN35" s="11" t="s">
        <v>99</v>
      </c>
    </row>
    <row r="36" spans="1:40" ht="45.6">
      <c r="A36" s="10">
        <v>48</v>
      </c>
      <c r="B36" s="10" t="s">
        <v>188</v>
      </c>
      <c r="C36" s="10" t="s">
        <v>189</v>
      </c>
      <c r="D36" s="10">
        <f t="shared" si="1"/>
        <v>2021</v>
      </c>
      <c r="E36" s="10" t="s">
        <v>96</v>
      </c>
      <c r="F36" s="10" t="s">
        <v>71</v>
      </c>
      <c r="G36" s="10" t="s">
        <v>72</v>
      </c>
      <c r="H36" s="10" t="s">
        <v>50</v>
      </c>
      <c r="I36" s="10" t="s">
        <v>47</v>
      </c>
      <c r="J36" s="10" t="s">
        <v>48</v>
      </c>
      <c r="K36" s="10" t="s">
        <v>48</v>
      </c>
      <c r="L36" s="10" t="s">
        <v>49</v>
      </c>
      <c r="M36" s="10" t="s">
        <v>89</v>
      </c>
      <c r="N36" s="10" t="s">
        <v>74</v>
      </c>
      <c r="O36" s="10" t="s">
        <v>74</v>
      </c>
      <c r="P36" s="10" t="s">
        <v>74</v>
      </c>
      <c r="Q36" s="10" t="s">
        <v>52</v>
      </c>
      <c r="R36" s="10" t="s">
        <v>53</v>
      </c>
      <c r="S36" s="10" t="s">
        <v>52</v>
      </c>
      <c r="T36" s="10" t="s">
        <v>56</v>
      </c>
      <c r="U36" s="10" t="s">
        <v>56</v>
      </c>
      <c r="V36" s="10" t="s">
        <v>56</v>
      </c>
      <c r="W36" s="10" t="s">
        <v>56</v>
      </c>
      <c r="X36" s="10" t="s">
        <v>56</v>
      </c>
      <c r="Y36" s="10" t="s">
        <v>56</v>
      </c>
      <c r="Z36" s="11" t="s">
        <v>90</v>
      </c>
      <c r="AA36" s="11" t="s">
        <v>85</v>
      </c>
      <c r="AB36" s="11" t="s">
        <v>60</v>
      </c>
      <c r="AC36" s="11" t="s">
        <v>60</v>
      </c>
      <c r="AD36" s="11" t="s">
        <v>60</v>
      </c>
      <c r="AE36" s="11" t="s">
        <v>59</v>
      </c>
      <c r="AF36" s="11" t="s">
        <v>60</v>
      </c>
      <c r="AG36" s="11" t="s">
        <v>129</v>
      </c>
      <c r="AH36" s="11" t="s">
        <v>78</v>
      </c>
      <c r="AI36" s="11" t="s">
        <v>64</v>
      </c>
      <c r="AJ36" s="11" t="s">
        <v>52</v>
      </c>
      <c r="AK36" s="11" t="s">
        <v>80</v>
      </c>
      <c r="AL36" s="11" t="s">
        <v>86</v>
      </c>
      <c r="AM36" s="11" t="s">
        <v>124</v>
      </c>
      <c r="AN36" s="11" t="s">
        <v>110</v>
      </c>
    </row>
    <row r="37" spans="1:40" ht="57">
      <c r="A37" s="10">
        <v>49</v>
      </c>
      <c r="B37" s="10" t="s">
        <v>190</v>
      </c>
      <c r="C37" s="10" t="s">
        <v>191</v>
      </c>
      <c r="D37" s="10">
        <f t="shared" si="1"/>
        <v>2021</v>
      </c>
      <c r="E37" s="10" t="s">
        <v>96</v>
      </c>
      <c r="F37" s="10" t="s">
        <v>46</v>
      </c>
      <c r="G37" s="10" t="s">
        <v>49</v>
      </c>
      <c r="H37" s="10" t="s">
        <v>50</v>
      </c>
      <c r="I37" s="10" t="s">
        <v>49</v>
      </c>
      <c r="J37" s="10" t="s">
        <v>48</v>
      </c>
      <c r="K37" s="10" t="s">
        <v>48</v>
      </c>
      <c r="L37" s="10" t="s">
        <v>50</v>
      </c>
      <c r="M37" s="10" t="s">
        <v>89</v>
      </c>
      <c r="N37" s="10" t="s">
        <v>53</v>
      </c>
      <c r="O37" s="10" t="s">
        <v>52</v>
      </c>
      <c r="P37" s="10" t="s">
        <v>53</v>
      </c>
      <c r="Q37" s="10" t="s">
        <v>48</v>
      </c>
      <c r="R37" s="10" t="s">
        <v>52</v>
      </c>
      <c r="S37" s="10" t="s">
        <v>53</v>
      </c>
      <c r="T37" s="10" t="s">
        <v>54</v>
      </c>
      <c r="U37" s="10" t="s">
        <v>56</v>
      </c>
      <c r="V37" s="10" t="s">
        <v>56</v>
      </c>
      <c r="W37" s="10" t="s">
        <v>56</v>
      </c>
      <c r="X37" s="10" t="s">
        <v>97</v>
      </c>
      <c r="Y37" s="10" t="s">
        <v>55</v>
      </c>
      <c r="Z37" s="11" t="s">
        <v>141</v>
      </c>
      <c r="AA37" s="11" t="s">
        <v>76</v>
      </c>
      <c r="AB37" s="11" t="s">
        <v>59</v>
      </c>
      <c r="AC37" s="11" t="s">
        <v>60</v>
      </c>
      <c r="AD37" s="11" t="s">
        <v>60</v>
      </c>
      <c r="AE37" s="11" t="s">
        <v>55</v>
      </c>
      <c r="AF37" s="11" t="s">
        <v>61</v>
      </c>
      <c r="AG37" s="11" t="s">
        <v>91</v>
      </c>
      <c r="AH37" s="11" t="s">
        <v>78</v>
      </c>
      <c r="AI37" s="11" t="s">
        <v>64</v>
      </c>
      <c r="AJ37" s="11" t="s">
        <v>52</v>
      </c>
      <c r="AK37" s="11" t="s">
        <v>98</v>
      </c>
      <c r="AL37" s="11" t="s">
        <v>66</v>
      </c>
      <c r="AM37" s="11" t="s">
        <v>124</v>
      </c>
      <c r="AN37" s="11" t="s">
        <v>110</v>
      </c>
    </row>
    <row r="38" spans="1:40" ht="57">
      <c r="A38" s="10">
        <v>50</v>
      </c>
      <c r="B38" s="10" t="s">
        <v>192</v>
      </c>
      <c r="C38" s="10" t="s">
        <v>193</v>
      </c>
      <c r="D38" s="10">
        <f t="shared" si="1"/>
        <v>2024</v>
      </c>
      <c r="E38" s="10" t="s">
        <v>45</v>
      </c>
      <c r="F38" s="10" t="s">
        <v>71</v>
      </c>
      <c r="G38" s="10" t="s">
        <v>49</v>
      </c>
      <c r="H38" s="10" t="s">
        <v>50</v>
      </c>
      <c r="I38" s="10" t="s">
        <v>48</v>
      </c>
      <c r="J38" s="10" t="s">
        <v>50</v>
      </c>
      <c r="K38" s="10" t="s">
        <v>50</v>
      </c>
      <c r="L38" s="10" t="s">
        <v>50</v>
      </c>
      <c r="M38" s="10" t="s">
        <v>89</v>
      </c>
      <c r="N38" s="10" t="s">
        <v>48</v>
      </c>
      <c r="O38" s="10" t="s">
        <v>52</v>
      </c>
      <c r="P38" s="10" t="s">
        <v>48</v>
      </c>
      <c r="Q38" s="10" t="s">
        <v>48</v>
      </c>
      <c r="R38" s="10" t="s">
        <v>74</v>
      </c>
      <c r="S38" s="10" t="s">
        <v>48</v>
      </c>
      <c r="T38" s="10" t="s">
        <v>54</v>
      </c>
      <c r="U38" s="10" t="s">
        <v>56</v>
      </c>
      <c r="V38" s="10" t="s">
        <v>56</v>
      </c>
      <c r="W38" s="10" t="s">
        <v>56</v>
      </c>
      <c r="X38" s="10" t="s">
        <v>55</v>
      </c>
      <c r="Y38" s="10" t="s">
        <v>56</v>
      </c>
      <c r="Z38" s="11" t="s">
        <v>141</v>
      </c>
      <c r="AA38" s="11" t="s">
        <v>76</v>
      </c>
      <c r="AB38" s="11" t="s">
        <v>59</v>
      </c>
      <c r="AC38" s="11" t="s">
        <v>59</v>
      </c>
      <c r="AD38" s="11" t="s">
        <v>55</v>
      </c>
      <c r="AE38" s="11" t="s">
        <v>59</v>
      </c>
      <c r="AF38" s="11" t="s">
        <v>60</v>
      </c>
      <c r="AG38" s="11" t="s">
        <v>77</v>
      </c>
      <c r="AH38" s="11" t="s">
        <v>78</v>
      </c>
      <c r="AI38" s="11" t="s">
        <v>64</v>
      </c>
      <c r="AJ38" s="11" t="s">
        <v>52</v>
      </c>
      <c r="AK38" s="11" t="s">
        <v>65</v>
      </c>
      <c r="AL38" s="11" t="s">
        <v>66</v>
      </c>
      <c r="AM38" s="11" t="s">
        <v>124</v>
      </c>
      <c r="AN38" s="11" t="s">
        <v>110</v>
      </c>
    </row>
    <row r="39" spans="1:40" ht="57">
      <c r="A39" s="10">
        <v>51</v>
      </c>
      <c r="B39" s="10" t="s">
        <v>194</v>
      </c>
      <c r="C39" s="10" t="s">
        <v>195</v>
      </c>
      <c r="D39" s="10">
        <f t="shared" si="1"/>
        <v>2024</v>
      </c>
      <c r="E39" s="10" t="s">
        <v>45</v>
      </c>
      <c r="F39" s="10" t="s">
        <v>71</v>
      </c>
      <c r="G39" s="10" t="s">
        <v>49</v>
      </c>
      <c r="H39" s="10" t="s">
        <v>48</v>
      </c>
      <c r="I39" s="10" t="s">
        <v>47</v>
      </c>
      <c r="J39" s="10" t="s">
        <v>48</v>
      </c>
      <c r="K39" s="10" t="s">
        <v>48</v>
      </c>
      <c r="L39" s="10" t="s">
        <v>49</v>
      </c>
      <c r="M39" s="10" t="s">
        <v>83</v>
      </c>
      <c r="N39" s="10" t="s">
        <v>48</v>
      </c>
      <c r="O39" s="10" t="s">
        <v>74</v>
      </c>
      <c r="P39" s="10" t="s">
        <v>74</v>
      </c>
      <c r="Q39" s="10" t="s">
        <v>48</v>
      </c>
      <c r="R39" s="10" t="s">
        <v>52</v>
      </c>
      <c r="S39" s="10" t="s">
        <v>53</v>
      </c>
      <c r="T39" s="10" t="s">
        <v>54</v>
      </c>
      <c r="U39" s="10" t="s">
        <v>55</v>
      </c>
      <c r="V39" s="10" t="s">
        <v>56</v>
      </c>
      <c r="W39" s="10" t="s">
        <v>56</v>
      </c>
      <c r="X39" s="10" t="s">
        <v>55</v>
      </c>
      <c r="Y39" s="10" t="s">
        <v>55</v>
      </c>
      <c r="Z39" s="11" t="s">
        <v>84</v>
      </c>
      <c r="AA39" s="11" t="s">
        <v>85</v>
      </c>
      <c r="AB39" s="11" t="s">
        <v>59</v>
      </c>
      <c r="AC39" s="11" t="s">
        <v>60</v>
      </c>
      <c r="AD39" s="11" t="s">
        <v>61</v>
      </c>
      <c r="AE39" s="11" t="s">
        <v>60</v>
      </c>
      <c r="AF39" s="11" t="s">
        <v>60</v>
      </c>
      <c r="AG39" s="11" t="s">
        <v>129</v>
      </c>
      <c r="AH39" s="11" t="s">
        <v>63</v>
      </c>
      <c r="AI39" s="11" t="s">
        <v>64</v>
      </c>
      <c r="AJ39" s="11" t="s">
        <v>74</v>
      </c>
      <c r="AK39" s="11" t="s">
        <v>65</v>
      </c>
      <c r="AL39" s="11" t="s">
        <v>66</v>
      </c>
      <c r="AM39" s="11" t="s">
        <v>124</v>
      </c>
      <c r="AN39" s="11" t="s">
        <v>68</v>
      </c>
    </row>
    <row r="40" spans="1:40" ht="57">
      <c r="A40" s="10">
        <v>52</v>
      </c>
      <c r="B40" s="10" t="s">
        <v>196</v>
      </c>
      <c r="C40" s="10" t="s">
        <v>197</v>
      </c>
      <c r="D40" s="10">
        <f t="shared" si="1"/>
        <v>2024</v>
      </c>
      <c r="E40" s="10" t="s">
        <v>45</v>
      </c>
      <c r="F40" s="10" t="s">
        <v>71</v>
      </c>
      <c r="G40" s="10" t="s">
        <v>72</v>
      </c>
      <c r="H40" s="10" t="s">
        <v>50</v>
      </c>
      <c r="I40" s="10" t="s">
        <v>49</v>
      </c>
      <c r="J40" s="10" t="s">
        <v>48</v>
      </c>
      <c r="K40" s="10" t="s">
        <v>50</v>
      </c>
      <c r="L40" s="10" t="s">
        <v>48</v>
      </c>
      <c r="M40" s="10" t="s">
        <v>89</v>
      </c>
      <c r="N40" s="10" t="s">
        <v>52</v>
      </c>
      <c r="O40" s="10" t="s">
        <v>48</v>
      </c>
      <c r="P40" s="10" t="s">
        <v>48</v>
      </c>
      <c r="Q40" s="10" t="s">
        <v>52</v>
      </c>
      <c r="R40" s="10" t="s">
        <v>50</v>
      </c>
      <c r="S40" s="10" t="s">
        <v>48</v>
      </c>
      <c r="T40" s="10" t="s">
        <v>56</v>
      </c>
      <c r="U40" s="10" t="s">
        <v>54</v>
      </c>
      <c r="V40" s="10" t="s">
        <v>56</v>
      </c>
      <c r="W40" s="10" t="s">
        <v>56</v>
      </c>
      <c r="X40" s="10" t="s">
        <v>97</v>
      </c>
      <c r="Y40" s="10" t="s">
        <v>55</v>
      </c>
      <c r="Z40" s="11" t="s">
        <v>57</v>
      </c>
      <c r="AA40" s="11" t="s">
        <v>58</v>
      </c>
      <c r="AB40" s="11" t="s">
        <v>59</v>
      </c>
      <c r="AC40" s="11" t="s">
        <v>60</v>
      </c>
      <c r="AD40" s="11" t="s">
        <v>55</v>
      </c>
      <c r="AE40" s="11" t="s">
        <v>60</v>
      </c>
      <c r="AF40" s="11" t="s">
        <v>60</v>
      </c>
      <c r="AG40" s="11" t="s">
        <v>129</v>
      </c>
      <c r="AH40" s="11" t="s">
        <v>78</v>
      </c>
      <c r="AI40" s="11" t="s">
        <v>64</v>
      </c>
      <c r="AJ40" s="11" t="s">
        <v>52</v>
      </c>
      <c r="AK40" s="11" t="s">
        <v>65</v>
      </c>
      <c r="AL40" s="11" t="s">
        <v>66</v>
      </c>
      <c r="AM40" s="11" t="s">
        <v>67</v>
      </c>
      <c r="AN40" s="11" t="s">
        <v>68</v>
      </c>
    </row>
    <row r="41" spans="1:40" ht="57">
      <c r="A41" s="10">
        <v>53</v>
      </c>
      <c r="B41" s="10" t="s">
        <v>198</v>
      </c>
      <c r="C41" s="10" t="s">
        <v>199</v>
      </c>
      <c r="D41" s="10">
        <f t="shared" si="1"/>
        <v>2024</v>
      </c>
      <c r="E41" s="10" t="s">
        <v>45</v>
      </c>
      <c r="F41" s="10" t="s">
        <v>71</v>
      </c>
      <c r="G41" s="10" t="s">
        <v>49</v>
      </c>
      <c r="H41" s="10" t="s">
        <v>50</v>
      </c>
      <c r="I41" s="10" t="s">
        <v>50</v>
      </c>
      <c r="J41" s="10" t="s">
        <v>50</v>
      </c>
      <c r="K41" s="10" t="s">
        <v>50</v>
      </c>
      <c r="L41" s="10" t="s">
        <v>47</v>
      </c>
      <c r="M41" s="10" t="s">
        <v>89</v>
      </c>
      <c r="N41" s="10" t="s">
        <v>74</v>
      </c>
      <c r="O41" s="10" t="s">
        <v>74</v>
      </c>
      <c r="P41" s="10" t="s">
        <v>52</v>
      </c>
      <c r="Q41" s="10" t="s">
        <v>52</v>
      </c>
      <c r="R41" s="10" t="s">
        <v>48</v>
      </c>
      <c r="S41" s="10" t="s">
        <v>53</v>
      </c>
      <c r="T41" s="10" t="s">
        <v>54</v>
      </c>
      <c r="U41" s="10" t="s">
        <v>56</v>
      </c>
      <c r="V41" s="10" t="s">
        <v>56</v>
      </c>
      <c r="W41" s="10" t="s">
        <v>56</v>
      </c>
      <c r="X41" s="10" t="s">
        <v>97</v>
      </c>
      <c r="Y41" s="10" t="s">
        <v>54</v>
      </c>
      <c r="Z41" s="11" t="s">
        <v>84</v>
      </c>
      <c r="AA41" s="11" t="s">
        <v>85</v>
      </c>
      <c r="AB41" s="11" t="s">
        <v>59</v>
      </c>
      <c r="AC41" s="11" t="s">
        <v>60</v>
      </c>
      <c r="AD41" s="11" t="s">
        <v>55</v>
      </c>
      <c r="AE41" s="11" t="s">
        <v>60</v>
      </c>
      <c r="AF41" s="11" t="s">
        <v>60</v>
      </c>
      <c r="AG41" s="11" t="s">
        <v>77</v>
      </c>
      <c r="AH41" s="11" t="s">
        <v>78</v>
      </c>
      <c r="AI41" s="11" t="s">
        <v>79</v>
      </c>
      <c r="AJ41" s="11" t="s">
        <v>74</v>
      </c>
      <c r="AK41" s="11" t="s">
        <v>65</v>
      </c>
      <c r="AL41" s="11" t="s">
        <v>66</v>
      </c>
      <c r="AM41" s="11" t="s">
        <v>55</v>
      </c>
      <c r="AN41" s="11" t="s">
        <v>110</v>
      </c>
    </row>
    <row r="42" spans="1:40" ht="57">
      <c r="A42" s="10">
        <v>54</v>
      </c>
      <c r="B42" s="10" t="s">
        <v>200</v>
      </c>
      <c r="C42" s="10" t="s">
        <v>201</v>
      </c>
      <c r="D42" s="10">
        <f t="shared" si="1"/>
        <v>2024</v>
      </c>
      <c r="E42" s="10" t="s">
        <v>45</v>
      </c>
      <c r="F42" s="10" t="s">
        <v>71</v>
      </c>
      <c r="G42" s="10" t="s">
        <v>49</v>
      </c>
      <c r="H42" s="10" t="s">
        <v>50</v>
      </c>
      <c r="I42" s="10" t="s">
        <v>48</v>
      </c>
      <c r="J42" s="10" t="s">
        <v>50</v>
      </c>
      <c r="K42" s="10" t="s">
        <v>50</v>
      </c>
      <c r="L42" s="10" t="s">
        <v>48</v>
      </c>
      <c r="M42" s="10" t="s">
        <v>89</v>
      </c>
      <c r="N42" s="10" t="s">
        <v>52</v>
      </c>
      <c r="O42" s="10" t="s">
        <v>53</v>
      </c>
      <c r="P42" s="10" t="s">
        <v>48</v>
      </c>
      <c r="Q42" s="10" t="s">
        <v>48</v>
      </c>
      <c r="R42" s="10" t="s">
        <v>74</v>
      </c>
      <c r="S42" s="10" t="s">
        <v>52</v>
      </c>
      <c r="T42" s="10" t="s">
        <v>54</v>
      </c>
      <c r="U42" s="10" t="s">
        <v>56</v>
      </c>
      <c r="V42" s="10" t="s">
        <v>56</v>
      </c>
      <c r="W42" s="10" t="s">
        <v>55</v>
      </c>
      <c r="X42" s="10" t="s">
        <v>55</v>
      </c>
      <c r="Y42" s="10" t="s">
        <v>55</v>
      </c>
      <c r="Z42" s="11" t="s">
        <v>84</v>
      </c>
      <c r="AA42" s="11" t="s">
        <v>85</v>
      </c>
      <c r="AB42" s="11" t="s">
        <v>59</v>
      </c>
      <c r="AC42" s="11" t="s">
        <v>59</v>
      </c>
      <c r="AD42" s="11" t="s">
        <v>55</v>
      </c>
      <c r="AE42" s="11" t="s">
        <v>59</v>
      </c>
      <c r="AF42" s="11" t="s">
        <v>60</v>
      </c>
      <c r="AG42" s="11" t="s">
        <v>77</v>
      </c>
      <c r="AH42" s="11" t="s">
        <v>78</v>
      </c>
      <c r="AI42" s="11" t="s">
        <v>64</v>
      </c>
      <c r="AJ42" s="11" t="s">
        <v>74</v>
      </c>
      <c r="AK42" s="11" t="s">
        <v>65</v>
      </c>
      <c r="AL42" s="11" t="s">
        <v>92</v>
      </c>
      <c r="AM42" s="11" t="s">
        <v>124</v>
      </c>
      <c r="AN42" s="11" t="s">
        <v>68</v>
      </c>
    </row>
    <row r="43" spans="1:40" ht="45.6">
      <c r="A43" s="10">
        <v>55</v>
      </c>
      <c r="B43" s="10" t="s">
        <v>202</v>
      </c>
      <c r="C43" s="10" t="s">
        <v>203</v>
      </c>
      <c r="D43" s="10">
        <f t="shared" si="1"/>
        <v>2024</v>
      </c>
      <c r="E43" s="10" t="s">
        <v>45</v>
      </c>
      <c r="F43" s="10" t="s">
        <v>46</v>
      </c>
      <c r="G43" s="10" t="s">
        <v>49</v>
      </c>
      <c r="H43" s="10" t="s">
        <v>50</v>
      </c>
      <c r="I43" s="10" t="s">
        <v>50</v>
      </c>
      <c r="J43" s="10" t="s">
        <v>50</v>
      </c>
      <c r="K43" s="10" t="s">
        <v>50</v>
      </c>
      <c r="L43" s="10" t="s">
        <v>50</v>
      </c>
      <c r="M43" s="10" t="s">
        <v>89</v>
      </c>
      <c r="N43" s="10" t="s">
        <v>52</v>
      </c>
      <c r="O43" s="10" t="s">
        <v>48</v>
      </c>
      <c r="P43" s="10" t="s">
        <v>48</v>
      </c>
      <c r="Q43" s="10" t="s">
        <v>52</v>
      </c>
      <c r="R43" s="10" t="s">
        <v>48</v>
      </c>
      <c r="S43" s="10" t="s">
        <v>74</v>
      </c>
      <c r="T43" s="10" t="s">
        <v>54</v>
      </c>
      <c r="U43" s="10" t="s">
        <v>56</v>
      </c>
      <c r="V43" s="10" t="s">
        <v>56</v>
      </c>
      <c r="W43" s="10" t="s">
        <v>54</v>
      </c>
      <c r="X43" s="10" t="s">
        <v>97</v>
      </c>
      <c r="Y43" s="10" t="s">
        <v>56</v>
      </c>
      <c r="Z43" s="11" t="s">
        <v>118</v>
      </c>
      <c r="AA43" s="11" t="s">
        <v>76</v>
      </c>
      <c r="AB43" s="11" t="s">
        <v>59</v>
      </c>
      <c r="AC43" s="11" t="s">
        <v>59</v>
      </c>
      <c r="AD43" s="11" t="s">
        <v>55</v>
      </c>
      <c r="AE43" s="11" t="s">
        <v>59</v>
      </c>
      <c r="AF43" s="11" t="s">
        <v>60</v>
      </c>
      <c r="AG43" s="11" t="s">
        <v>62</v>
      </c>
      <c r="AH43" s="11" t="s">
        <v>63</v>
      </c>
      <c r="AI43" s="11" t="s">
        <v>64</v>
      </c>
      <c r="AJ43" s="11" t="s">
        <v>52</v>
      </c>
      <c r="AK43" s="11" t="s">
        <v>65</v>
      </c>
      <c r="AL43" s="11" t="s">
        <v>66</v>
      </c>
      <c r="AM43" s="11" t="s">
        <v>124</v>
      </c>
      <c r="AN43" s="11" t="s">
        <v>110</v>
      </c>
    </row>
    <row r="44" spans="1:40" ht="45.6">
      <c r="A44" s="10">
        <v>56</v>
      </c>
      <c r="B44" s="10" t="s">
        <v>204</v>
      </c>
      <c r="C44" s="10" t="s">
        <v>205</v>
      </c>
      <c r="D44" s="10">
        <f t="shared" si="1"/>
        <v>2024</v>
      </c>
      <c r="E44" s="10" t="s">
        <v>45</v>
      </c>
      <c r="F44" s="10" t="s">
        <v>71</v>
      </c>
      <c r="G44" s="10" t="s">
        <v>49</v>
      </c>
      <c r="H44" s="10" t="s">
        <v>50</v>
      </c>
      <c r="I44" s="10" t="s">
        <v>72</v>
      </c>
      <c r="J44" s="10" t="s">
        <v>49</v>
      </c>
      <c r="K44" s="10" t="s">
        <v>49</v>
      </c>
      <c r="L44" s="10" t="s">
        <v>47</v>
      </c>
      <c r="M44" s="10" t="s">
        <v>83</v>
      </c>
      <c r="N44" s="10" t="s">
        <v>74</v>
      </c>
      <c r="O44" s="10" t="s">
        <v>52</v>
      </c>
      <c r="P44" s="10" t="s">
        <v>48</v>
      </c>
      <c r="Q44" s="10" t="s">
        <v>48</v>
      </c>
      <c r="R44" s="10" t="s">
        <v>74</v>
      </c>
      <c r="S44" s="10" t="s">
        <v>48</v>
      </c>
      <c r="T44" s="10" t="s">
        <v>54</v>
      </c>
      <c r="U44" s="10" t="s">
        <v>56</v>
      </c>
      <c r="V44" s="10" t="s">
        <v>56</v>
      </c>
      <c r="W44" s="10" t="s">
        <v>56</v>
      </c>
      <c r="X44" s="10" t="s">
        <v>56</v>
      </c>
      <c r="Y44" s="10" t="s">
        <v>56</v>
      </c>
      <c r="Z44" s="11" t="s">
        <v>143</v>
      </c>
      <c r="AA44" s="11" t="s">
        <v>76</v>
      </c>
      <c r="AB44" s="11" t="s">
        <v>60</v>
      </c>
      <c r="AC44" s="11" t="s">
        <v>59</v>
      </c>
      <c r="AD44" s="11" t="s">
        <v>55</v>
      </c>
      <c r="AE44" s="11" t="s">
        <v>59</v>
      </c>
      <c r="AF44" s="11" t="s">
        <v>60</v>
      </c>
      <c r="AG44" s="11" t="s">
        <v>129</v>
      </c>
      <c r="AH44" s="11" t="s">
        <v>78</v>
      </c>
      <c r="AI44" s="11" t="s">
        <v>64</v>
      </c>
      <c r="AJ44" s="11" t="s">
        <v>52</v>
      </c>
      <c r="AK44" s="11" t="s">
        <v>65</v>
      </c>
      <c r="AL44" s="11" t="s">
        <v>92</v>
      </c>
      <c r="AM44" s="11" t="s">
        <v>109</v>
      </c>
      <c r="AN44" s="11" t="s">
        <v>68</v>
      </c>
    </row>
    <row r="45" spans="1:40" ht="45.6">
      <c r="A45" s="10">
        <v>57</v>
      </c>
      <c r="B45" s="10" t="s">
        <v>206</v>
      </c>
      <c r="C45" s="10" t="s">
        <v>207</v>
      </c>
      <c r="D45" s="10">
        <f t="shared" si="1"/>
        <v>2022</v>
      </c>
      <c r="E45" s="10" t="s">
        <v>45</v>
      </c>
      <c r="F45" s="10" t="s">
        <v>71</v>
      </c>
      <c r="G45" s="10" t="s">
        <v>72</v>
      </c>
      <c r="H45" s="10" t="s">
        <v>48</v>
      </c>
      <c r="I45" s="10" t="s">
        <v>47</v>
      </c>
      <c r="J45" s="10" t="s">
        <v>50</v>
      </c>
      <c r="K45" s="10" t="s">
        <v>50</v>
      </c>
      <c r="L45" s="10" t="s">
        <v>50</v>
      </c>
      <c r="M45" s="10" t="s">
        <v>83</v>
      </c>
      <c r="N45" s="10" t="s">
        <v>53</v>
      </c>
      <c r="O45" s="10" t="s">
        <v>52</v>
      </c>
      <c r="P45" s="10" t="s">
        <v>52</v>
      </c>
      <c r="Q45" s="10" t="s">
        <v>52</v>
      </c>
      <c r="R45" s="10" t="s">
        <v>52</v>
      </c>
      <c r="S45" s="10" t="s">
        <v>52</v>
      </c>
      <c r="T45" s="10" t="s">
        <v>56</v>
      </c>
      <c r="U45" s="10" t="s">
        <v>56</v>
      </c>
      <c r="V45" s="10" t="s">
        <v>56</v>
      </c>
      <c r="W45" s="10" t="s">
        <v>56</v>
      </c>
      <c r="X45" s="10" t="s">
        <v>56</v>
      </c>
      <c r="Y45" s="10" t="s">
        <v>56</v>
      </c>
      <c r="Z45" s="11" t="s">
        <v>118</v>
      </c>
      <c r="AA45" s="11" t="s">
        <v>76</v>
      </c>
      <c r="AB45" s="11" t="s">
        <v>60</v>
      </c>
      <c r="AC45" s="11" t="s">
        <v>60</v>
      </c>
      <c r="AD45" s="11" t="s">
        <v>55</v>
      </c>
      <c r="AE45" s="11" t="s">
        <v>60</v>
      </c>
      <c r="AF45" s="11" t="s">
        <v>60</v>
      </c>
      <c r="AG45" s="11" t="s">
        <v>103</v>
      </c>
      <c r="AH45" s="11" t="s">
        <v>78</v>
      </c>
      <c r="AI45" s="11" t="s">
        <v>64</v>
      </c>
      <c r="AJ45" s="11" t="s">
        <v>52</v>
      </c>
      <c r="AK45" s="11" t="s">
        <v>65</v>
      </c>
      <c r="AL45" s="11" t="s">
        <v>66</v>
      </c>
      <c r="AM45" s="11" t="s">
        <v>124</v>
      </c>
      <c r="AN45" s="11" t="s">
        <v>110</v>
      </c>
    </row>
    <row r="46" spans="1:40" ht="45.6">
      <c r="A46" s="10">
        <v>58</v>
      </c>
      <c r="B46" s="10" t="s">
        <v>208</v>
      </c>
      <c r="C46" s="10" t="s">
        <v>209</v>
      </c>
      <c r="D46" s="10">
        <f t="shared" si="1"/>
        <v>2022</v>
      </c>
      <c r="E46" s="10" t="s">
        <v>45</v>
      </c>
      <c r="F46" s="10" t="s">
        <v>46</v>
      </c>
      <c r="G46" s="10" t="s">
        <v>50</v>
      </c>
      <c r="H46" s="10" t="s">
        <v>50</v>
      </c>
      <c r="I46" s="10" t="s">
        <v>49</v>
      </c>
      <c r="J46" s="10" t="s">
        <v>50</v>
      </c>
      <c r="K46" s="10" t="s">
        <v>50</v>
      </c>
      <c r="L46" s="10" t="s">
        <v>49</v>
      </c>
      <c r="M46" s="10" t="s">
        <v>89</v>
      </c>
      <c r="N46" s="10" t="s">
        <v>74</v>
      </c>
      <c r="O46" s="10" t="s">
        <v>53</v>
      </c>
      <c r="P46" s="10" t="s">
        <v>48</v>
      </c>
      <c r="Q46" s="10" t="s">
        <v>52</v>
      </c>
      <c r="R46" s="10" t="s">
        <v>48</v>
      </c>
      <c r="S46" s="10" t="s">
        <v>48</v>
      </c>
      <c r="T46" s="10" t="s">
        <v>54</v>
      </c>
      <c r="U46" s="10" t="s">
        <v>55</v>
      </c>
      <c r="V46" s="10" t="s">
        <v>55</v>
      </c>
      <c r="W46" s="10" t="s">
        <v>54</v>
      </c>
      <c r="X46" s="10" t="s">
        <v>108</v>
      </c>
      <c r="Y46" s="10" t="s">
        <v>55</v>
      </c>
      <c r="Z46" s="11" t="s">
        <v>210</v>
      </c>
      <c r="AA46" s="11" t="s">
        <v>85</v>
      </c>
      <c r="AB46" s="11" t="s">
        <v>59</v>
      </c>
      <c r="AC46" s="11" t="s">
        <v>60</v>
      </c>
      <c r="AD46" s="11" t="s">
        <v>55</v>
      </c>
      <c r="AE46" s="11" t="s">
        <v>55</v>
      </c>
      <c r="AF46" s="11" t="s">
        <v>60</v>
      </c>
      <c r="AG46" s="11" t="s">
        <v>62</v>
      </c>
      <c r="AH46" s="11" t="s">
        <v>159</v>
      </c>
      <c r="AI46" s="11" t="s">
        <v>64</v>
      </c>
      <c r="AJ46" s="11" t="s">
        <v>74</v>
      </c>
      <c r="AK46" s="11" t="s">
        <v>65</v>
      </c>
      <c r="AL46" s="11" t="s">
        <v>92</v>
      </c>
      <c r="AM46" s="11" t="s">
        <v>109</v>
      </c>
      <c r="AN46" s="11" t="s">
        <v>121</v>
      </c>
    </row>
    <row r="47" spans="1:40" ht="45.6">
      <c r="A47" s="10">
        <v>59</v>
      </c>
      <c r="B47" s="10" t="s">
        <v>211</v>
      </c>
      <c r="C47" s="10" t="s">
        <v>212</v>
      </c>
      <c r="D47" s="10">
        <f t="shared" si="1"/>
        <v>2023</v>
      </c>
      <c r="E47" s="10" t="s">
        <v>45</v>
      </c>
      <c r="F47" s="10" t="s">
        <v>71</v>
      </c>
      <c r="G47" s="10" t="s">
        <v>47</v>
      </c>
      <c r="H47" s="10" t="s">
        <v>50</v>
      </c>
      <c r="I47" s="10" t="s">
        <v>47</v>
      </c>
      <c r="J47" s="10" t="s">
        <v>50</v>
      </c>
      <c r="K47" s="10" t="s">
        <v>48</v>
      </c>
      <c r="L47" s="10" t="s">
        <v>72</v>
      </c>
      <c r="M47" s="10" t="s">
        <v>83</v>
      </c>
      <c r="N47" s="10" t="s">
        <v>50</v>
      </c>
      <c r="O47" s="10" t="s">
        <v>52</v>
      </c>
      <c r="P47" s="10" t="s">
        <v>53</v>
      </c>
      <c r="Q47" s="10" t="s">
        <v>52</v>
      </c>
      <c r="R47" s="10" t="s">
        <v>53</v>
      </c>
      <c r="S47" s="10" t="s">
        <v>48</v>
      </c>
      <c r="T47" s="10" t="s">
        <v>108</v>
      </c>
      <c r="U47" s="10" t="s">
        <v>54</v>
      </c>
      <c r="V47" s="10" t="s">
        <v>56</v>
      </c>
      <c r="W47" s="10" t="s">
        <v>55</v>
      </c>
      <c r="X47" s="10" t="s">
        <v>97</v>
      </c>
      <c r="Y47" s="10" t="s">
        <v>55</v>
      </c>
      <c r="Z47" s="11" t="s">
        <v>90</v>
      </c>
      <c r="AA47" s="11" t="s">
        <v>85</v>
      </c>
      <c r="AB47" s="11" t="s">
        <v>59</v>
      </c>
      <c r="AC47" s="11" t="s">
        <v>59</v>
      </c>
      <c r="AD47" s="11" t="s">
        <v>55</v>
      </c>
      <c r="AE47" s="11" t="s">
        <v>59</v>
      </c>
      <c r="AF47" s="11" t="s">
        <v>59</v>
      </c>
      <c r="AG47" s="11" t="s">
        <v>91</v>
      </c>
      <c r="AH47" s="11" t="s">
        <v>78</v>
      </c>
      <c r="AI47" s="11" t="s">
        <v>79</v>
      </c>
      <c r="AJ47" s="11" t="s">
        <v>74</v>
      </c>
      <c r="AK47" s="11" t="s">
        <v>65</v>
      </c>
      <c r="AL47" s="11" t="s">
        <v>66</v>
      </c>
      <c r="AM47" s="11" t="s">
        <v>109</v>
      </c>
      <c r="AN47" s="11" t="s">
        <v>68</v>
      </c>
    </row>
    <row r="48" spans="1:40" ht="45.6">
      <c r="A48" s="10">
        <v>60</v>
      </c>
      <c r="B48" s="10" t="s">
        <v>213</v>
      </c>
      <c r="C48" s="10" t="s">
        <v>214</v>
      </c>
      <c r="D48" s="10">
        <f t="shared" si="1"/>
        <v>2022</v>
      </c>
      <c r="E48" s="10" t="s">
        <v>45</v>
      </c>
      <c r="F48" s="10" t="s">
        <v>71</v>
      </c>
      <c r="G48" s="10" t="s">
        <v>72</v>
      </c>
      <c r="H48" s="10" t="s">
        <v>49</v>
      </c>
      <c r="I48" s="10" t="s">
        <v>49</v>
      </c>
      <c r="J48" s="10" t="s">
        <v>49</v>
      </c>
      <c r="K48" s="10" t="s">
        <v>50</v>
      </c>
      <c r="L48" s="10" t="s">
        <v>50</v>
      </c>
      <c r="M48" s="10" t="s">
        <v>89</v>
      </c>
      <c r="N48" s="10" t="s">
        <v>53</v>
      </c>
      <c r="O48" s="10" t="s">
        <v>48</v>
      </c>
      <c r="P48" s="10" t="s">
        <v>52</v>
      </c>
      <c r="Q48" s="10" t="s">
        <v>53</v>
      </c>
      <c r="R48" s="10" t="s">
        <v>52</v>
      </c>
      <c r="S48" s="10" t="s">
        <v>74</v>
      </c>
      <c r="T48" s="10" t="s">
        <v>54</v>
      </c>
      <c r="U48" s="10" t="s">
        <v>54</v>
      </c>
      <c r="V48" s="10" t="s">
        <v>54</v>
      </c>
      <c r="W48" s="10" t="s">
        <v>54</v>
      </c>
      <c r="X48" s="10" t="s">
        <v>54</v>
      </c>
      <c r="Y48" s="10" t="s">
        <v>54</v>
      </c>
      <c r="Z48" s="11" t="s">
        <v>118</v>
      </c>
      <c r="AA48" s="11" t="s">
        <v>76</v>
      </c>
      <c r="AB48" s="11" t="s">
        <v>144</v>
      </c>
      <c r="AC48" s="11" t="s">
        <v>55</v>
      </c>
      <c r="AD48" s="11" t="s">
        <v>61</v>
      </c>
      <c r="AE48" s="11" t="s">
        <v>60</v>
      </c>
      <c r="AF48" s="11" t="s">
        <v>59</v>
      </c>
      <c r="AG48" s="11" t="s">
        <v>62</v>
      </c>
      <c r="AH48" s="11" t="s">
        <v>78</v>
      </c>
      <c r="AI48" s="11" t="s">
        <v>134</v>
      </c>
      <c r="AJ48" s="11" t="s">
        <v>52</v>
      </c>
      <c r="AK48" s="11" t="s">
        <v>65</v>
      </c>
      <c r="AL48" s="11" t="s">
        <v>92</v>
      </c>
      <c r="AM48" s="11" t="s">
        <v>109</v>
      </c>
      <c r="AN48" s="11" t="s">
        <v>99</v>
      </c>
    </row>
    <row r="49" spans="1:40" ht="45.6">
      <c r="A49" s="10">
        <v>61</v>
      </c>
      <c r="B49" s="10" t="s">
        <v>215</v>
      </c>
      <c r="C49" s="10" t="s">
        <v>216</v>
      </c>
      <c r="D49" s="10">
        <f t="shared" si="1"/>
        <v>2023</v>
      </c>
      <c r="E49" s="10" t="s">
        <v>45</v>
      </c>
      <c r="F49" s="10" t="s">
        <v>71</v>
      </c>
      <c r="G49" s="10" t="s">
        <v>49</v>
      </c>
      <c r="H49" s="10" t="s">
        <v>49</v>
      </c>
      <c r="I49" s="10" t="s">
        <v>72</v>
      </c>
      <c r="J49" s="10" t="s">
        <v>72</v>
      </c>
      <c r="K49" s="10" t="s">
        <v>72</v>
      </c>
      <c r="L49" s="10" t="s">
        <v>50</v>
      </c>
      <c r="M49" s="10" t="s">
        <v>89</v>
      </c>
      <c r="N49" s="10" t="s">
        <v>52</v>
      </c>
      <c r="O49" s="10" t="s">
        <v>52</v>
      </c>
      <c r="P49" s="10" t="s">
        <v>52</v>
      </c>
      <c r="Q49" s="10" t="s">
        <v>52</v>
      </c>
      <c r="R49" s="10" t="s">
        <v>52</v>
      </c>
      <c r="S49" s="10" t="s">
        <v>52</v>
      </c>
      <c r="T49" s="10" t="s">
        <v>56</v>
      </c>
      <c r="U49" s="10" t="s">
        <v>56</v>
      </c>
      <c r="V49" s="10" t="s">
        <v>56</v>
      </c>
      <c r="W49" s="10" t="s">
        <v>56</v>
      </c>
      <c r="X49" s="10" t="s">
        <v>56</v>
      </c>
      <c r="Y49" s="10" t="s">
        <v>56</v>
      </c>
      <c r="Z49" s="11" t="s">
        <v>118</v>
      </c>
      <c r="AA49" s="11" t="s">
        <v>76</v>
      </c>
      <c r="AB49" s="11" t="s">
        <v>59</v>
      </c>
      <c r="AC49" s="11" t="s">
        <v>59</v>
      </c>
      <c r="AD49" s="11" t="s">
        <v>59</v>
      </c>
      <c r="AE49" s="11" t="s">
        <v>59</v>
      </c>
      <c r="AF49" s="11" t="s">
        <v>59</v>
      </c>
      <c r="AG49" s="11" t="s">
        <v>145</v>
      </c>
      <c r="AH49" s="11" t="s">
        <v>78</v>
      </c>
      <c r="AI49" s="11" t="s">
        <v>79</v>
      </c>
      <c r="AJ49" s="11" t="s">
        <v>52</v>
      </c>
      <c r="AK49" s="11" t="s">
        <v>80</v>
      </c>
      <c r="AL49" s="11" t="s">
        <v>165</v>
      </c>
      <c r="AM49" s="11" t="s">
        <v>109</v>
      </c>
      <c r="AN49" s="11" t="s">
        <v>217</v>
      </c>
    </row>
    <row r="50" spans="1:40" ht="45.6">
      <c r="A50" s="10">
        <v>62</v>
      </c>
      <c r="B50" s="10" t="s">
        <v>218</v>
      </c>
      <c r="C50" s="10" t="s">
        <v>219</v>
      </c>
      <c r="D50" s="10">
        <f t="shared" si="1"/>
        <v>2023</v>
      </c>
      <c r="E50" s="10" t="s">
        <v>45</v>
      </c>
      <c r="F50" s="10" t="s">
        <v>71</v>
      </c>
      <c r="G50" s="10" t="s">
        <v>72</v>
      </c>
      <c r="H50" s="10" t="s">
        <v>72</v>
      </c>
      <c r="I50" s="10" t="s">
        <v>72</v>
      </c>
      <c r="J50" s="10" t="s">
        <v>72</v>
      </c>
      <c r="K50" s="10" t="s">
        <v>72</v>
      </c>
      <c r="L50" s="10" t="s">
        <v>72</v>
      </c>
      <c r="M50" s="10" t="s">
        <v>150</v>
      </c>
      <c r="N50" s="10" t="s">
        <v>74</v>
      </c>
      <c r="O50" s="10" t="s">
        <v>74</v>
      </c>
      <c r="P50" s="10" t="s">
        <v>74</v>
      </c>
      <c r="Q50" s="10" t="s">
        <v>74</v>
      </c>
      <c r="R50" s="10" t="s">
        <v>74</v>
      </c>
      <c r="S50" s="10" t="s">
        <v>74</v>
      </c>
      <c r="T50" s="10" t="s">
        <v>54</v>
      </c>
      <c r="U50" s="10" t="s">
        <v>54</v>
      </c>
      <c r="V50" s="10" t="s">
        <v>54</v>
      </c>
      <c r="W50" s="10" t="s">
        <v>54</v>
      </c>
      <c r="X50" s="10" t="s">
        <v>54</v>
      </c>
      <c r="Y50" s="10" t="s">
        <v>54</v>
      </c>
      <c r="Z50" s="11" t="s">
        <v>90</v>
      </c>
      <c r="AA50" s="11" t="s">
        <v>85</v>
      </c>
      <c r="AB50" s="11" t="s">
        <v>59</v>
      </c>
      <c r="AC50" s="11" t="s">
        <v>59</v>
      </c>
      <c r="AD50" s="11" t="s">
        <v>59</v>
      </c>
      <c r="AE50" s="11" t="s">
        <v>59</v>
      </c>
      <c r="AF50" s="11" t="s">
        <v>59</v>
      </c>
      <c r="AG50" s="11" t="s">
        <v>129</v>
      </c>
      <c r="AH50" s="11" t="s">
        <v>104</v>
      </c>
      <c r="AI50" s="11" t="s">
        <v>64</v>
      </c>
      <c r="AJ50" s="11" t="s">
        <v>74</v>
      </c>
      <c r="AK50" s="11" t="s">
        <v>80</v>
      </c>
      <c r="AL50" s="11" t="s">
        <v>92</v>
      </c>
      <c r="AM50" s="11" t="s">
        <v>109</v>
      </c>
      <c r="AN50" s="11" t="s">
        <v>99</v>
      </c>
    </row>
    <row r="51" spans="1:40" ht="57">
      <c r="A51" s="10">
        <v>63</v>
      </c>
      <c r="B51" s="10" t="s">
        <v>220</v>
      </c>
      <c r="C51" s="10" t="s">
        <v>149</v>
      </c>
      <c r="D51" s="10">
        <f t="shared" si="1"/>
        <v>2022</v>
      </c>
      <c r="E51" s="10" t="s">
        <v>96</v>
      </c>
      <c r="F51" s="10" t="s">
        <v>71</v>
      </c>
      <c r="G51" s="10" t="s">
        <v>72</v>
      </c>
      <c r="H51" s="10" t="s">
        <v>72</v>
      </c>
      <c r="I51" s="10" t="s">
        <v>72</v>
      </c>
      <c r="J51" s="10" t="s">
        <v>72</v>
      </c>
      <c r="K51" s="10" t="s">
        <v>72</v>
      </c>
      <c r="L51" s="10" t="s">
        <v>50</v>
      </c>
      <c r="M51" s="10" t="s">
        <v>51</v>
      </c>
      <c r="N51" s="10" t="s">
        <v>48</v>
      </c>
      <c r="O51" s="10" t="s">
        <v>52</v>
      </c>
      <c r="P51" s="10" t="s">
        <v>52</v>
      </c>
      <c r="Q51" s="10" t="s">
        <v>52</v>
      </c>
      <c r="R51" s="10" t="s">
        <v>74</v>
      </c>
      <c r="S51" s="10" t="s">
        <v>74</v>
      </c>
      <c r="T51" s="10" t="s">
        <v>55</v>
      </c>
      <c r="U51" s="10" t="s">
        <v>56</v>
      </c>
      <c r="V51" s="10" t="s">
        <v>54</v>
      </c>
      <c r="W51" s="10" t="s">
        <v>56</v>
      </c>
      <c r="X51" s="10" t="s">
        <v>55</v>
      </c>
      <c r="Y51" s="10" t="s">
        <v>97</v>
      </c>
      <c r="Z51" s="11" t="s">
        <v>57</v>
      </c>
      <c r="AA51" s="11" t="s">
        <v>58</v>
      </c>
      <c r="AB51" s="11" t="s">
        <v>144</v>
      </c>
      <c r="AC51" s="11" t="s">
        <v>59</v>
      </c>
      <c r="AD51" s="11" t="s">
        <v>60</v>
      </c>
      <c r="AE51" s="11" t="s">
        <v>55</v>
      </c>
      <c r="AF51" s="11" t="s">
        <v>59</v>
      </c>
      <c r="AG51" s="11" t="s">
        <v>129</v>
      </c>
      <c r="AH51" s="11" t="s">
        <v>78</v>
      </c>
      <c r="AI51" s="11" t="s">
        <v>79</v>
      </c>
      <c r="AJ51" s="11" t="s">
        <v>52</v>
      </c>
      <c r="AK51" s="11" t="s">
        <v>80</v>
      </c>
      <c r="AL51" s="11" t="s">
        <v>92</v>
      </c>
      <c r="AM51" s="11" t="s">
        <v>109</v>
      </c>
      <c r="AN51" s="11" t="s">
        <v>99</v>
      </c>
    </row>
    <row r="52" spans="1:40" ht="57">
      <c r="A52" s="10">
        <v>64</v>
      </c>
      <c r="B52" s="10" t="s">
        <v>221</v>
      </c>
      <c r="C52" s="10" t="s">
        <v>222</v>
      </c>
      <c r="D52" s="10">
        <f t="shared" si="1"/>
        <v>2022</v>
      </c>
      <c r="E52" s="10" t="s">
        <v>45</v>
      </c>
      <c r="F52" s="10" t="s">
        <v>46</v>
      </c>
      <c r="G52" s="10" t="s">
        <v>72</v>
      </c>
      <c r="H52" s="10" t="s">
        <v>49</v>
      </c>
      <c r="I52" s="10" t="s">
        <v>72</v>
      </c>
      <c r="J52" s="10" t="s">
        <v>47</v>
      </c>
      <c r="K52" s="10" t="s">
        <v>49</v>
      </c>
      <c r="L52" s="10" t="s">
        <v>72</v>
      </c>
      <c r="M52" s="10" t="s">
        <v>73</v>
      </c>
      <c r="N52" s="10" t="s">
        <v>50</v>
      </c>
      <c r="O52" s="10" t="s">
        <v>50</v>
      </c>
      <c r="P52" s="10" t="s">
        <v>48</v>
      </c>
      <c r="Q52" s="10" t="s">
        <v>53</v>
      </c>
      <c r="R52" s="10" t="s">
        <v>52</v>
      </c>
      <c r="S52" s="10" t="s">
        <v>74</v>
      </c>
      <c r="T52" s="10" t="s">
        <v>108</v>
      </c>
      <c r="U52" s="10" t="s">
        <v>97</v>
      </c>
      <c r="V52" s="10" t="s">
        <v>55</v>
      </c>
      <c r="W52" s="10" t="s">
        <v>56</v>
      </c>
      <c r="X52" s="10" t="s">
        <v>54</v>
      </c>
      <c r="Y52" s="10" t="s">
        <v>56</v>
      </c>
      <c r="Z52" s="11" t="s">
        <v>137</v>
      </c>
      <c r="AA52" s="11" t="s">
        <v>138</v>
      </c>
      <c r="AB52" s="11" t="s">
        <v>55</v>
      </c>
      <c r="AC52" s="11" t="s">
        <v>55</v>
      </c>
      <c r="AD52" s="11" t="s">
        <v>55</v>
      </c>
      <c r="AE52" s="11" t="s">
        <v>55</v>
      </c>
      <c r="AF52" s="11" t="s">
        <v>55</v>
      </c>
      <c r="AG52" s="11" t="s">
        <v>62</v>
      </c>
      <c r="AH52" s="11" t="s">
        <v>78</v>
      </c>
      <c r="AI52" s="11" t="s">
        <v>64</v>
      </c>
      <c r="AJ52" s="11" t="s">
        <v>52</v>
      </c>
      <c r="AK52" s="11" t="s">
        <v>65</v>
      </c>
      <c r="AL52" s="11" t="s">
        <v>66</v>
      </c>
      <c r="AM52" s="11" t="s">
        <v>124</v>
      </c>
      <c r="AN52" s="11" t="s">
        <v>110</v>
      </c>
    </row>
    <row r="53" spans="1:40" ht="45.6">
      <c r="A53" s="10">
        <v>65</v>
      </c>
      <c r="B53" s="10" t="s">
        <v>223</v>
      </c>
      <c r="C53" s="10" t="s">
        <v>224</v>
      </c>
      <c r="D53" s="10">
        <f t="shared" si="1"/>
        <v>2022</v>
      </c>
      <c r="E53" s="10" t="s">
        <v>45</v>
      </c>
      <c r="F53" s="10" t="s">
        <v>158</v>
      </c>
      <c r="G53" s="10" t="s">
        <v>48</v>
      </c>
      <c r="H53" s="10" t="s">
        <v>48</v>
      </c>
      <c r="I53" s="10" t="s">
        <v>48</v>
      </c>
      <c r="J53" s="10" t="s">
        <v>48</v>
      </c>
      <c r="K53" s="10" t="s">
        <v>48</v>
      </c>
      <c r="L53" s="10" t="s">
        <v>50</v>
      </c>
      <c r="M53" s="10" t="s">
        <v>51</v>
      </c>
      <c r="N53" s="10" t="s">
        <v>48</v>
      </c>
      <c r="O53" s="10" t="s">
        <v>48</v>
      </c>
      <c r="P53" s="10" t="s">
        <v>48</v>
      </c>
      <c r="Q53" s="10" t="s">
        <v>48</v>
      </c>
      <c r="R53" s="10" t="s">
        <v>48</v>
      </c>
      <c r="S53" s="10" t="s">
        <v>48</v>
      </c>
      <c r="T53" s="10" t="s">
        <v>97</v>
      </c>
      <c r="U53" s="10" t="s">
        <v>97</v>
      </c>
      <c r="V53" s="10" t="s">
        <v>97</v>
      </c>
      <c r="W53" s="10" t="s">
        <v>97</v>
      </c>
      <c r="X53" s="10" t="s">
        <v>97</v>
      </c>
      <c r="Y53" s="10" t="s">
        <v>97</v>
      </c>
      <c r="Z53" s="11" t="s">
        <v>90</v>
      </c>
      <c r="AA53" s="11" t="s">
        <v>85</v>
      </c>
      <c r="AB53" s="11" t="s">
        <v>55</v>
      </c>
      <c r="AC53" s="11" t="s">
        <v>55</v>
      </c>
      <c r="AD53" s="11" t="s">
        <v>55</v>
      </c>
      <c r="AE53" s="11" t="s">
        <v>55</v>
      </c>
      <c r="AF53" s="11" t="s">
        <v>55</v>
      </c>
      <c r="AG53" s="11" t="s">
        <v>91</v>
      </c>
      <c r="AH53" s="11" t="s">
        <v>104</v>
      </c>
      <c r="AI53" s="11" t="s">
        <v>134</v>
      </c>
      <c r="AJ53" s="11" t="s">
        <v>53</v>
      </c>
      <c r="AK53" s="11" t="s">
        <v>80</v>
      </c>
      <c r="AL53" s="11" t="s">
        <v>92</v>
      </c>
      <c r="AM53" s="11" t="s">
        <v>109</v>
      </c>
      <c r="AN53" s="11" t="s">
        <v>121</v>
      </c>
    </row>
    <row r="54" spans="1:40" ht="57">
      <c r="A54" s="10">
        <v>66</v>
      </c>
      <c r="B54" s="10" t="s">
        <v>225</v>
      </c>
      <c r="C54" s="10" t="s">
        <v>226</v>
      </c>
      <c r="D54" s="10">
        <f t="shared" si="1"/>
        <v>2022</v>
      </c>
      <c r="E54" s="10" t="s">
        <v>45</v>
      </c>
      <c r="F54" s="10" t="s">
        <v>127</v>
      </c>
      <c r="G54" s="10" t="s">
        <v>49</v>
      </c>
      <c r="H54" s="10" t="s">
        <v>47</v>
      </c>
      <c r="I54" s="10" t="s">
        <v>49</v>
      </c>
      <c r="J54" s="10" t="s">
        <v>47</v>
      </c>
      <c r="K54" s="10" t="s">
        <v>47</v>
      </c>
      <c r="L54" s="10" t="s">
        <v>47</v>
      </c>
      <c r="M54" s="10" t="s">
        <v>83</v>
      </c>
      <c r="N54" s="10" t="s">
        <v>52</v>
      </c>
      <c r="O54" s="10" t="s">
        <v>74</v>
      </c>
      <c r="P54" s="10" t="s">
        <v>52</v>
      </c>
      <c r="Q54" s="10" t="s">
        <v>53</v>
      </c>
      <c r="R54" s="10" t="s">
        <v>52</v>
      </c>
      <c r="S54" s="10" t="s">
        <v>74</v>
      </c>
      <c r="T54" s="10" t="s">
        <v>54</v>
      </c>
      <c r="U54" s="10" t="s">
        <v>56</v>
      </c>
      <c r="V54" s="10" t="s">
        <v>55</v>
      </c>
      <c r="W54" s="10" t="s">
        <v>56</v>
      </c>
      <c r="X54" s="10" t="s">
        <v>54</v>
      </c>
      <c r="Y54" s="10" t="s">
        <v>56</v>
      </c>
      <c r="Z54" s="11" t="s">
        <v>137</v>
      </c>
      <c r="AA54" s="11" t="s">
        <v>138</v>
      </c>
      <c r="AB54" s="11" t="s">
        <v>55</v>
      </c>
      <c r="AC54" s="11" t="s">
        <v>55</v>
      </c>
      <c r="AD54" s="11" t="s">
        <v>60</v>
      </c>
      <c r="AE54" s="11" t="s">
        <v>59</v>
      </c>
      <c r="AF54" s="11" t="s">
        <v>59</v>
      </c>
      <c r="AG54" s="11" t="s">
        <v>145</v>
      </c>
      <c r="AH54" s="11" t="s">
        <v>78</v>
      </c>
      <c r="AI54" s="11" t="s">
        <v>79</v>
      </c>
      <c r="AJ54" s="11" t="s">
        <v>53</v>
      </c>
      <c r="AK54" s="11" t="s">
        <v>65</v>
      </c>
      <c r="AL54" s="11" t="s">
        <v>92</v>
      </c>
      <c r="AM54" s="11" t="s">
        <v>109</v>
      </c>
      <c r="AN54" s="11" t="s">
        <v>99</v>
      </c>
    </row>
    <row r="55" spans="1:40" ht="57">
      <c r="A55" s="10">
        <v>67</v>
      </c>
      <c r="B55" s="10" t="s">
        <v>227</v>
      </c>
      <c r="C55" s="10" t="s">
        <v>228</v>
      </c>
      <c r="D55" s="10">
        <f t="shared" si="1"/>
        <v>2022</v>
      </c>
      <c r="E55" s="10" t="s">
        <v>45</v>
      </c>
      <c r="F55" s="10" t="s">
        <v>71</v>
      </c>
      <c r="G55" s="10" t="s">
        <v>72</v>
      </c>
      <c r="H55" s="10" t="s">
        <v>72</v>
      </c>
      <c r="I55" s="10" t="s">
        <v>72</v>
      </c>
      <c r="J55" s="10" t="s">
        <v>72</v>
      </c>
      <c r="K55" s="10" t="s">
        <v>72</v>
      </c>
      <c r="L55" s="10" t="s">
        <v>72</v>
      </c>
      <c r="M55" s="10" t="s">
        <v>89</v>
      </c>
      <c r="N55" s="10" t="s">
        <v>48</v>
      </c>
      <c r="O55" s="10" t="s">
        <v>53</v>
      </c>
      <c r="P55" s="10" t="s">
        <v>53</v>
      </c>
      <c r="Q55" s="10" t="s">
        <v>52</v>
      </c>
      <c r="R55" s="10" t="s">
        <v>52</v>
      </c>
      <c r="S55" s="10" t="s">
        <v>53</v>
      </c>
      <c r="T55" s="10" t="s">
        <v>54</v>
      </c>
      <c r="U55" s="10" t="s">
        <v>56</v>
      </c>
      <c r="V55" s="10" t="s">
        <v>55</v>
      </c>
      <c r="W55" s="10" t="s">
        <v>55</v>
      </c>
      <c r="X55" s="10" t="s">
        <v>56</v>
      </c>
      <c r="Y55" s="10" t="s">
        <v>54</v>
      </c>
      <c r="Z55" s="11" t="s">
        <v>137</v>
      </c>
      <c r="AA55" s="11" t="s">
        <v>138</v>
      </c>
      <c r="AB55" s="11" t="s">
        <v>59</v>
      </c>
      <c r="AC55" s="11" t="s">
        <v>60</v>
      </c>
      <c r="AD55" s="11" t="s">
        <v>60</v>
      </c>
      <c r="AE55" s="11" t="s">
        <v>59</v>
      </c>
      <c r="AF55" s="11" t="s">
        <v>60</v>
      </c>
      <c r="AG55" s="11" t="s">
        <v>145</v>
      </c>
      <c r="AH55" s="11" t="s">
        <v>159</v>
      </c>
      <c r="AI55" s="11" t="s">
        <v>105</v>
      </c>
      <c r="AJ55" s="11" t="s">
        <v>48</v>
      </c>
      <c r="AK55" s="11" t="s">
        <v>98</v>
      </c>
      <c r="AL55" s="11" t="s">
        <v>66</v>
      </c>
      <c r="AM55" s="11" t="s">
        <v>109</v>
      </c>
      <c r="AN55" s="11" t="s">
        <v>110</v>
      </c>
    </row>
    <row r="56" spans="1:40" ht="57">
      <c r="A56" s="10">
        <v>68</v>
      </c>
      <c r="B56" s="10" t="s">
        <v>229</v>
      </c>
      <c r="C56" s="10" t="s">
        <v>230</v>
      </c>
      <c r="D56" s="10">
        <f t="shared" si="1"/>
        <v>2022</v>
      </c>
      <c r="E56" s="10" t="s">
        <v>45</v>
      </c>
      <c r="F56" s="10" t="s">
        <v>46</v>
      </c>
      <c r="G56" s="10" t="s">
        <v>72</v>
      </c>
      <c r="H56" s="10" t="s">
        <v>49</v>
      </c>
      <c r="I56" s="10" t="s">
        <v>72</v>
      </c>
      <c r="J56" s="10" t="s">
        <v>49</v>
      </c>
      <c r="K56" s="10" t="s">
        <v>72</v>
      </c>
      <c r="L56" s="10" t="s">
        <v>49</v>
      </c>
      <c r="M56" s="10" t="s">
        <v>83</v>
      </c>
      <c r="N56" s="10" t="s">
        <v>74</v>
      </c>
      <c r="O56" s="10" t="s">
        <v>52</v>
      </c>
      <c r="P56" s="10" t="s">
        <v>74</v>
      </c>
      <c r="Q56" s="10" t="s">
        <v>74</v>
      </c>
      <c r="R56" s="10" t="s">
        <v>52</v>
      </c>
      <c r="S56" s="10" t="s">
        <v>74</v>
      </c>
      <c r="T56" s="10" t="s">
        <v>54</v>
      </c>
      <c r="U56" s="10" t="s">
        <v>56</v>
      </c>
      <c r="V56" s="10" t="s">
        <v>54</v>
      </c>
      <c r="W56" s="10" t="s">
        <v>56</v>
      </c>
      <c r="X56" s="10" t="s">
        <v>54</v>
      </c>
      <c r="Y56" s="10" t="s">
        <v>54</v>
      </c>
      <c r="Z56" s="11" t="s">
        <v>84</v>
      </c>
      <c r="AA56" s="11" t="s">
        <v>85</v>
      </c>
      <c r="AB56" s="11" t="s">
        <v>59</v>
      </c>
      <c r="AC56" s="11" t="s">
        <v>60</v>
      </c>
      <c r="AD56" s="11" t="s">
        <v>59</v>
      </c>
      <c r="AE56" s="11" t="s">
        <v>60</v>
      </c>
      <c r="AF56" s="11" t="s">
        <v>59</v>
      </c>
      <c r="AG56" s="11" t="s">
        <v>62</v>
      </c>
      <c r="AH56" s="11" t="s">
        <v>159</v>
      </c>
      <c r="AI56" s="11" t="s">
        <v>64</v>
      </c>
      <c r="AJ56" s="11" t="s">
        <v>53</v>
      </c>
      <c r="AK56" s="11" t="s">
        <v>80</v>
      </c>
      <c r="AL56" s="11" t="s">
        <v>92</v>
      </c>
      <c r="AM56" s="11" t="s">
        <v>124</v>
      </c>
      <c r="AN56" s="11" t="s">
        <v>121</v>
      </c>
    </row>
    <row r="57" spans="1:40" ht="45.6">
      <c r="A57" s="10">
        <v>69</v>
      </c>
      <c r="B57" s="10" t="s">
        <v>231</v>
      </c>
      <c r="C57" s="10" t="s">
        <v>232</v>
      </c>
      <c r="D57" s="10">
        <f t="shared" si="1"/>
        <v>2022</v>
      </c>
      <c r="E57" s="10" t="s">
        <v>45</v>
      </c>
      <c r="F57" s="10" t="s">
        <v>71</v>
      </c>
      <c r="G57" s="10" t="s">
        <v>72</v>
      </c>
      <c r="H57" s="10" t="s">
        <v>72</v>
      </c>
      <c r="I57" s="10" t="s">
        <v>72</v>
      </c>
      <c r="J57" s="10" t="s">
        <v>72</v>
      </c>
      <c r="K57" s="10" t="s">
        <v>72</v>
      </c>
      <c r="L57" s="10" t="s">
        <v>72</v>
      </c>
      <c r="M57" s="10" t="s">
        <v>73</v>
      </c>
      <c r="N57" s="10" t="s">
        <v>50</v>
      </c>
      <c r="O57" s="10" t="s">
        <v>50</v>
      </c>
      <c r="P57" s="10" t="s">
        <v>50</v>
      </c>
      <c r="Q57" s="10" t="s">
        <v>50</v>
      </c>
      <c r="R57" s="10" t="s">
        <v>74</v>
      </c>
      <c r="S57" s="10" t="s">
        <v>50</v>
      </c>
      <c r="T57" s="10" t="s">
        <v>54</v>
      </c>
      <c r="U57" s="10" t="s">
        <v>54</v>
      </c>
      <c r="V57" s="10" t="s">
        <v>54</v>
      </c>
      <c r="W57" s="10" t="s">
        <v>54</v>
      </c>
      <c r="X57" s="10" t="s">
        <v>54</v>
      </c>
      <c r="Y57" s="10" t="s">
        <v>54</v>
      </c>
      <c r="Z57" s="11" t="s">
        <v>118</v>
      </c>
      <c r="AA57" s="11" t="s">
        <v>76</v>
      </c>
      <c r="AB57" s="11" t="s">
        <v>59</v>
      </c>
      <c r="AC57" s="11" t="s">
        <v>59</v>
      </c>
      <c r="AD57" s="11" t="s">
        <v>59</v>
      </c>
      <c r="AE57" s="11" t="s">
        <v>59</v>
      </c>
      <c r="AF57" s="11" t="s">
        <v>59</v>
      </c>
      <c r="AG57" s="11" t="s">
        <v>129</v>
      </c>
      <c r="AH57" s="11" t="s">
        <v>104</v>
      </c>
      <c r="AI57" s="11" t="s">
        <v>79</v>
      </c>
      <c r="AJ57" s="11" t="s">
        <v>53</v>
      </c>
      <c r="AK57" s="11" t="s">
        <v>65</v>
      </c>
      <c r="AL57" s="11" t="s">
        <v>92</v>
      </c>
      <c r="AM57" s="11" t="s">
        <v>109</v>
      </c>
      <c r="AN57" s="11" t="s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7"/>
  <sheetViews>
    <sheetView workbookViewId="0"/>
  </sheetViews>
  <sheetFormatPr baseColWidth="10" defaultColWidth="8.796875" defaultRowHeight="13.8"/>
  <cols>
    <col min="1" max="30" width="25" customWidth="1"/>
  </cols>
  <sheetData>
    <row r="1" spans="1:55">
      <c r="A1" s="8" t="s">
        <v>7</v>
      </c>
      <c r="B1" s="8" t="s">
        <v>233</v>
      </c>
      <c r="C1" s="1"/>
      <c r="D1" s="8" t="s">
        <v>234</v>
      </c>
      <c r="E1" s="8" t="s">
        <v>235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t="s">
        <v>236</v>
      </c>
      <c r="T1" t="s">
        <v>237</v>
      </c>
      <c r="U1" t="s">
        <v>238</v>
      </c>
      <c r="V1" t="s">
        <v>239</v>
      </c>
    </row>
    <row r="2" spans="1:55">
      <c r="A2" s="1">
        <f>Datos!A2</f>
        <v>14</v>
      </c>
      <c r="B2" s="1" t="e">
        <f>IF(AND(OR(#REF!="Todos",Datos!$E2=#REF!),OR(#REF!="Todos",Datos!$D2=IFERROR(VALUE(#REF!),#REF!)),OR(#REF!="Todos",Datos!$F2=#REF!)),1,0)</f>
        <v>#REF!</v>
      </c>
      <c r="C2" s="1"/>
      <c r="D2" s="1" t="s">
        <v>240</v>
      </c>
      <c r="E2" s="1" t="e">
        <f>SUM(B2:B57)</f>
        <v>#REF!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>
        <f>IF(ISNUMBER(SEARCH("Me resulta más difícil trabajar o estudiar sin usar IA",Datos!$AG2)),1,0)</f>
        <v>0</v>
      </c>
      <c r="T2">
        <f>IF(ISNUMBER(SEARCH("Siento que retengo menos información cuando uso IA para resolver algo",Datos!$AG2)),1,0)</f>
        <v>0</v>
      </c>
      <c r="U2">
        <f>IF(ISNUMBER(SEARCH("Siento que dependo de la IA para producir un mejor trabajo",Datos!$AG2)),1,0)</f>
        <v>1</v>
      </c>
      <c r="V2">
        <f>IF(ISNUMBER(SEARCH("No he experimentado ninguna de estas situaciones",Datos!$AG2)),1,0)</f>
        <v>0</v>
      </c>
    </row>
    <row r="3" spans="1:55">
      <c r="A3" s="1">
        <f>Datos!A3</f>
        <v>15</v>
      </c>
      <c r="B3" s="1" t="e">
        <f>IF(AND(OR(#REF!="Todos",Datos!$E3=#REF!),OR(#REF!="Todos",Datos!$D3=IFERROR(VALUE(#REF!),#REF!)),OR(#REF!="Todos",Datos!$F3=#REF!)),1,0)</f>
        <v>#REF!</v>
      </c>
      <c r="C3" s="1"/>
      <c r="D3" s="1" t="s">
        <v>241</v>
      </c>
      <c r="E3" s="2" t="e">
        <f>IF(E2=0,0,COUNTIFS($B$2:$B$57,1,Datos!$F$2:$F$57,"A diario")/E2)</f>
        <v>#REF!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>
        <f>IF(ISNUMBER(SEARCH("Me resulta más difícil trabajar o estudiar sin usar IA",Datos!$AG3)),1,0)</f>
        <v>1</v>
      </c>
      <c r="T3">
        <f>IF(ISNUMBER(SEARCH("Siento que retengo menos información cuando uso IA para resolver algo",Datos!$AG3)),1,0)</f>
        <v>0</v>
      </c>
      <c r="U3">
        <f>IF(ISNUMBER(SEARCH("Siento que dependo de la IA para producir un mejor trabajo",Datos!$AG3)),1,0)</f>
        <v>1</v>
      </c>
      <c r="V3">
        <f>IF(ISNUMBER(SEARCH("No he experimentado ninguna de estas situaciones",Datos!$AG3)),1,0)</f>
        <v>0</v>
      </c>
    </row>
    <row r="4" spans="1:55">
      <c r="A4" s="1">
        <f>Datos!A4</f>
        <v>16</v>
      </c>
      <c r="B4" s="1" t="e">
        <f>IF(AND(OR(#REF!="Todos",Datos!$E4=#REF!),OR(#REF!="Todos",Datos!$D4=IFERROR(VALUE(#REF!),#REF!)),OR(#REF!="Todos",Datos!$F4=#REF!)),1,0)</f>
        <v>#REF!</v>
      </c>
      <c r="C4" s="1"/>
      <c r="D4" s="1" t="s">
        <v>4</v>
      </c>
      <c r="E4" s="2" t="e">
        <f>IF(E2=0,0,(COUNTIFS($B$2:$B$57,1,Datos!$AF$2:$AF$57,"De acuerdo")+COUNTIFS($B$2:$B$57,1,Datos!$AF$2:$AF$57,"Totalmente de acuerdo"))/E2)</f>
        <v>#REF!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S4">
        <f>IF(ISNUMBER(SEARCH("Me resulta más difícil trabajar o estudiar sin usar IA",Datos!$AG4)),1,0)</f>
        <v>1</v>
      </c>
      <c r="T4">
        <f>IF(ISNUMBER(SEARCH("Siento que retengo menos información cuando uso IA para resolver algo",Datos!$AG4)),1,0)</f>
        <v>0</v>
      </c>
      <c r="U4">
        <f>IF(ISNUMBER(SEARCH("Siento que dependo de la IA para producir un mejor trabajo",Datos!$AG4)),1,0)</f>
        <v>1</v>
      </c>
      <c r="V4">
        <f>IF(ISNUMBER(SEARCH("No he experimentado ninguna de estas situaciones",Datos!$AG4)),1,0)</f>
        <v>0</v>
      </c>
    </row>
    <row r="5" spans="1:55">
      <c r="A5" s="1">
        <f>Datos!A5</f>
        <v>17</v>
      </c>
      <c r="B5" s="1" t="e">
        <f>IF(AND(OR(#REF!="Todos",Datos!$E5=#REF!),OR(#REF!="Todos",Datos!$D5=IFERROR(VALUE(#REF!),#REF!)),OR(#REF!="Todos",Datos!$F5=#REF!)),1,0)</f>
        <v>#REF!</v>
      </c>
      <c r="C5" s="1"/>
      <c r="D5" s="1" t="s">
        <v>242</v>
      </c>
      <c r="E5" s="2" t="e">
        <f>IF(E2=0,0,(COUNTIFS($B$2:$B$57,1,Datos!$AE$2:$AE$57,"De acuerdo")+COUNTIFS($B$2:$B$57,1,Datos!$AE$2:$AE$57,"Totalmente de acuerdo"))/E2)</f>
        <v>#REF!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>
        <f>IF(ISNUMBER(SEARCH("Me resulta más difícil trabajar o estudiar sin usar IA",Datos!$AG5)),1,0)</f>
        <v>0</v>
      </c>
      <c r="T5">
        <f>IF(ISNUMBER(SEARCH("Siento que retengo menos información cuando uso IA para resolver algo",Datos!$AG5)),1,0)</f>
        <v>0</v>
      </c>
      <c r="U5">
        <f>IF(ISNUMBER(SEARCH("Siento que dependo de la IA para producir un mejor trabajo",Datos!$AG5)),1,0)</f>
        <v>0</v>
      </c>
      <c r="V5">
        <f>IF(ISNUMBER(SEARCH("No he experimentado ninguna de estas situaciones",Datos!$AG5)),1,0)</f>
        <v>1</v>
      </c>
    </row>
    <row r="6" spans="1:55">
      <c r="A6" s="1">
        <f>Datos!A6</f>
        <v>18</v>
      </c>
      <c r="B6" s="1" t="e">
        <f>IF(AND(OR(#REF!="Todos",Datos!$E6=#REF!),OR(#REF!="Todos",Datos!$D6=IFERROR(VALUE(#REF!),#REF!)),OR(#REF!="Todos",Datos!$F6=#REF!)),1,0)</f>
        <v>#REF!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>
        <f>IF(ISNUMBER(SEARCH("Me resulta más difícil trabajar o estudiar sin usar IA",Datos!$AG6)),1,0)</f>
        <v>0</v>
      </c>
      <c r="T6">
        <f>IF(ISNUMBER(SEARCH("Siento que retengo menos información cuando uso IA para resolver algo",Datos!$AG6)),1,0)</f>
        <v>0</v>
      </c>
      <c r="U6">
        <f>IF(ISNUMBER(SEARCH("Siento que dependo de la IA para producir un mejor trabajo",Datos!$AG6)),1,0)</f>
        <v>0</v>
      </c>
      <c r="V6">
        <f>IF(ISNUMBER(SEARCH("No he experimentado ninguna de estas situaciones",Datos!$AG6)),1,0)</f>
        <v>1</v>
      </c>
    </row>
    <row r="7" spans="1:55">
      <c r="A7" s="1">
        <f>Datos!A7</f>
        <v>19</v>
      </c>
      <c r="B7" s="1" t="e">
        <f>IF(AND(OR(#REF!="Todos",Datos!$E7=#REF!),OR(#REF!="Todos",Datos!$D7=IFERROR(VALUE(#REF!),#REF!)),OR(#REF!="Todos",Datos!$F7=#REF!)),1,0)</f>
        <v>#REF!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>
        <f>IF(ISNUMBER(SEARCH("Me resulta más difícil trabajar o estudiar sin usar IA",Datos!$AG7)),1,0)</f>
        <v>1</v>
      </c>
      <c r="T7">
        <f>IF(ISNUMBER(SEARCH("Siento que retengo menos información cuando uso IA para resolver algo",Datos!$AG7)),1,0)</f>
        <v>1</v>
      </c>
      <c r="U7">
        <f>IF(ISNUMBER(SEARCH("Siento que dependo de la IA para producir un mejor trabajo",Datos!$AG7)),1,0)</f>
        <v>0</v>
      </c>
      <c r="V7">
        <f>IF(ISNUMBER(SEARCH("No he experimentado ninguna de estas situaciones",Datos!$AG7)),1,0)</f>
        <v>0</v>
      </c>
    </row>
    <row r="8" spans="1:55">
      <c r="A8" s="1">
        <f>Datos!A8</f>
        <v>20</v>
      </c>
      <c r="B8" s="1" t="e">
        <f>IF(AND(OR(#REF!="Todos",Datos!$E8=#REF!),OR(#REF!="Todos",Datos!$D8=IFERROR(VALUE(#REF!),#REF!)),OR(#REF!="Todos",Datos!$F8=#REF!)),1,0)</f>
        <v>#REF!</v>
      </c>
      <c r="C8" s="1"/>
      <c r="D8" s="8" t="s">
        <v>243</v>
      </c>
      <c r="E8" s="8" t="s">
        <v>3</v>
      </c>
      <c r="F8" s="1"/>
      <c r="G8" s="8" t="s">
        <v>1</v>
      </c>
      <c r="H8" s="8" t="s">
        <v>3</v>
      </c>
      <c r="I8" s="1"/>
      <c r="J8" s="8" t="s">
        <v>244</v>
      </c>
      <c r="K8" s="8" t="s">
        <v>245</v>
      </c>
      <c r="L8" s="1"/>
      <c r="M8" s="8" t="s">
        <v>246</v>
      </c>
      <c r="N8" s="8" t="s">
        <v>247</v>
      </c>
      <c r="O8" s="1"/>
      <c r="P8" s="1"/>
      <c r="Q8" s="1"/>
      <c r="S8">
        <f>IF(ISNUMBER(SEARCH("Me resulta más difícil trabajar o estudiar sin usar IA",Datos!$AG8)),1,0)</f>
        <v>0</v>
      </c>
      <c r="T8">
        <f>IF(ISNUMBER(SEARCH("Siento que retengo menos información cuando uso IA para resolver algo",Datos!$AG8)),1,0)</f>
        <v>0</v>
      </c>
      <c r="U8">
        <f>IF(ISNUMBER(SEARCH("Siento que dependo de la IA para producir un mejor trabajo",Datos!$AG8)),1,0)</f>
        <v>0</v>
      </c>
      <c r="V8">
        <f>IF(ISNUMBER(SEARCH("No he experimentado ninguna de estas situaciones",Datos!$AG8)),1,0)</f>
        <v>1</v>
      </c>
      <c r="AA8" t="s">
        <v>1</v>
      </c>
      <c r="AB8" t="s">
        <v>3</v>
      </c>
      <c r="AD8" t="s">
        <v>248</v>
      </c>
      <c r="AE8" t="s">
        <v>249</v>
      </c>
      <c r="AG8" t="s">
        <v>250</v>
      </c>
      <c r="AH8" t="s">
        <v>249</v>
      </c>
      <c r="AJ8" t="s">
        <v>251</v>
      </c>
      <c r="AK8" t="s">
        <v>249</v>
      </c>
      <c r="AM8" t="s">
        <v>252</v>
      </c>
      <c r="AN8" t="s">
        <v>249</v>
      </c>
      <c r="AP8" t="s">
        <v>41</v>
      </c>
      <c r="AQ8" t="s">
        <v>249</v>
      </c>
      <c r="AS8" t="s">
        <v>253</v>
      </c>
      <c r="AT8" t="s">
        <v>249</v>
      </c>
      <c r="AV8" t="s">
        <v>254</v>
      </c>
      <c r="AW8" t="s">
        <v>249</v>
      </c>
      <c r="AY8" t="s">
        <v>255</v>
      </c>
      <c r="AZ8" t="s">
        <v>249</v>
      </c>
      <c r="BB8" t="s">
        <v>256</v>
      </c>
      <c r="BC8" t="s">
        <v>249</v>
      </c>
    </row>
    <row r="9" spans="1:55">
      <c r="A9" s="1">
        <f>Datos!A9</f>
        <v>21</v>
      </c>
      <c r="B9" s="1" t="e">
        <f>IF(AND(OR(#REF!="Todos",Datos!$E9=#REF!),OR(#REF!="Todos",Datos!$D9=IFERROR(VALUE(#REF!),#REF!)),OR(#REF!="Todos",Datos!$F9=#REF!)),1,0)</f>
        <v>#REF!</v>
      </c>
      <c r="C9" s="1"/>
      <c r="D9" s="1" t="s">
        <v>71</v>
      </c>
      <c r="E9" s="1">
        <f>COUNTIFS($B$2:$B$57,1,Datos!$F$2:$F$57,"A diario")</f>
        <v>0</v>
      </c>
      <c r="F9" s="1"/>
      <c r="G9" s="1">
        <v>2017</v>
      </c>
      <c r="H9" s="1">
        <f>COUNTIFS($B$2:$B$57,1,Datos!$D$2:$D$57,G9)</f>
        <v>0</v>
      </c>
      <c r="I9" s="1"/>
      <c r="J9" s="1" t="s">
        <v>11</v>
      </c>
      <c r="K9" s="3" t="e">
        <f>IF($E$2=0,0,100*COUNTIFS($B$2:$B$57,1,Datos!$G$2:$G$57,"&lt;&gt;Nunca",Datos!$G$2:$G$57,"&lt;&gt;")/$E$2)</f>
        <v>#REF!</v>
      </c>
      <c r="L9" s="1"/>
      <c r="M9" s="1" t="s">
        <v>257</v>
      </c>
      <c r="N9" s="3" t="e">
        <f>IF($E$2=0,0,100*(COUNTIFS($B$2:$B$57,1,Datos!$T$2:$T$57,"Aceptable")+COUNTIFS($B$2:$B$57,1,Datos!$T$2:$T$57,"Totalmente aceptable"))/$E$2)</f>
        <v>#REF!</v>
      </c>
      <c r="O9" s="1"/>
      <c r="P9" s="1"/>
      <c r="Q9" s="1"/>
      <c r="S9">
        <f>IF(ISNUMBER(SEARCH("Me resulta más difícil trabajar o estudiar sin usar IA",Datos!$AG9)),1,0)</f>
        <v>0</v>
      </c>
      <c r="T9">
        <f>IF(ISNUMBER(SEARCH("Siento que retengo menos información cuando uso IA para resolver algo",Datos!$AG9)),1,0)</f>
        <v>0</v>
      </c>
      <c r="U9">
        <f>IF(ISNUMBER(SEARCH("Siento que dependo de la IA para producir un mejor trabajo",Datos!$AG9)),1,0)</f>
        <v>0</v>
      </c>
      <c r="V9">
        <f>IF(ISNUMBER(SEARCH("No he experimentado ninguna de estas situaciones",Datos!$AG9)),1,0)</f>
        <v>1</v>
      </c>
      <c r="AA9">
        <v>2017</v>
      </c>
      <c r="AB9">
        <f>COUNTIFS($B$2:$B$57,1,Datos!$D$2:$D$57,AA9)</f>
        <v>0</v>
      </c>
      <c r="AD9" t="str">
        <f>D18</f>
        <v>Ayuda a entender temas complejos</v>
      </c>
      <c r="AE9" t="e">
        <f>100*E18</f>
        <v>#REF!</v>
      </c>
      <c r="AG9" t="str">
        <f>G18</f>
        <v>Menos de 1 hora</v>
      </c>
      <c r="AH9" t="e">
        <f>100*H18</f>
        <v>#REF!</v>
      </c>
      <c r="AJ9" t="str">
        <f>D27</f>
        <v>Siempre</v>
      </c>
      <c r="AK9" t="e">
        <f>100*E27</f>
        <v>#REF!</v>
      </c>
      <c r="AM9" t="str">
        <f>G27</f>
        <v>Ha mejorado mucho</v>
      </c>
      <c r="AN9" t="e">
        <f>100*H27</f>
        <v>#REF!</v>
      </c>
      <c r="AP9" t="str">
        <f>J27</f>
        <v>Muy consciente</v>
      </c>
      <c r="AQ9" t="e">
        <f>100*K27</f>
        <v>#REF!</v>
      </c>
      <c r="AS9" t="str">
        <f>M27</f>
        <v>Muy dispuesto</v>
      </c>
      <c r="AT9" t="e">
        <f>100*N27</f>
        <v>#REF!</v>
      </c>
      <c r="AV9" t="str">
        <f t="shared" ref="AV9:AW12" si="0">J18</f>
        <v>Dificultad para trabajar/estudiar sin IA</v>
      </c>
      <c r="AW9" t="e">
        <f t="shared" si="0"/>
        <v>#REF!</v>
      </c>
      <c r="AY9" t="str">
        <f t="shared" ref="AY9:AZ13" si="1">M18</f>
        <v>Decisión propia</v>
      </c>
      <c r="AZ9" t="e">
        <f t="shared" si="1"/>
        <v>#REF!</v>
      </c>
      <c r="BB9" t="str">
        <f t="shared" ref="BB9:BC13" si="2">P18</f>
        <v>Se anima a usarla lo más posible</v>
      </c>
      <c r="BC9" t="e">
        <f t="shared" si="2"/>
        <v>#REF!</v>
      </c>
    </row>
    <row r="10" spans="1:55">
      <c r="A10" s="1">
        <f>Datos!A10</f>
        <v>22</v>
      </c>
      <c r="B10" s="1" t="e">
        <f>IF(AND(OR(#REF!="Todos",Datos!$E10=#REF!),OR(#REF!="Todos",Datos!$D10=IFERROR(VALUE(#REF!),#REF!)),OR(#REF!="Todos",Datos!$F10=#REF!)),1,0)</f>
        <v>#REF!</v>
      </c>
      <c r="C10" s="1"/>
      <c r="D10" s="1" t="s">
        <v>46</v>
      </c>
      <c r="E10" s="1">
        <f>COUNTIFS($B$2:$B$57,1,Datos!$F$2:$F$57,"Semanalmente")</f>
        <v>0</v>
      </c>
      <c r="F10" s="1"/>
      <c r="G10" s="1">
        <v>2019</v>
      </c>
      <c r="H10" s="1">
        <f>COUNTIFS($B$2:$B$57,1,Datos!$D$2:$D$57,G10)</f>
        <v>0</v>
      </c>
      <c r="I10" s="1"/>
      <c r="J10" s="1" t="s">
        <v>12</v>
      </c>
      <c r="K10" s="3" t="e">
        <f>IF($E$2=0,0,100*COUNTIFS($B$2:$B$57,1,Datos!$H$2:$H$57,"&lt;&gt;Nunca",Datos!$H$2:$H$57,"&lt;&gt;")/$E$2)</f>
        <v>#REF!</v>
      </c>
      <c r="L10" s="1"/>
      <c r="M10" s="1" t="s">
        <v>258</v>
      </c>
      <c r="N10" s="3" t="e">
        <f>IF($E$2=0,0,100*(COUNTIFS($B$2:$B$57,1,Datos!$U$2:$U$57,"Aceptable")+COUNTIFS($B$2:$B$57,1,Datos!$U$2:$U$57,"Totalmente aceptable"))/$E$2)</f>
        <v>#REF!</v>
      </c>
      <c r="O10" s="1"/>
      <c r="P10" s="1"/>
      <c r="Q10" s="1"/>
      <c r="S10">
        <f>IF(ISNUMBER(SEARCH("Me resulta más difícil trabajar o estudiar sin usar IA",Datos!$AG10)),1,0)</f>
        <v>0</v>
      </c>
      <c r="T10">
        <f>IF(ISNUMBER(SEARCH("Siento que retengo menos información cuando uso IA para resolver algo",Datos!$AG10)),1,0)</f>
        <v>0</v>
      </c>
      <c r="U10">
        <f>IF(ISNUMBER(SEARCH("Siento que dependo de la IA para producir un mejor trabajo",Datos!$AG10)),1,0)</f>
        <v>0</v>
      </c>
      <c r="V10">
        <f>IF(ISNUMBER(SEARCH("No he experimentado ninguna de estas situaciones",Datos!$AG10)),1,0)</f>
        <v>1</v>
      </c>
      <c r="AA10">
        <v>2019</v>
      </c>
      <c r="AB10">
        <f>COUNTIFS($B$2:$B$57,1,Datos!$D$2:$D$57,AA10)</f>
        <v>0</v>
      </c>
      <c r="AD10" t="str">
        <f>D19</f>
        <v>Es fácil de usar</v>
      </c>
      <c r="AE10" t="e">
        <f>100*E19</f>
        <v>#REF!</v>
      </c>
      <c r="AG10" t="str">
        <f>G19</f>
        <v>1 a 3 horas</v>
      </c>
      <c r="AH10" t="e">
        <f>100*H19</f>
        <v>#REF!</v>
      </c>
      <c r="AJ10" t="str">
        <f>D28</f>
        <v>Frecuentemente</v>
      </c>
      <c r="AK10" t="e">
        <f>100*E28</f>
        <v>#REF!</v>
      </c>
      <c r="AM10" t="str">
        <f>G28</f>
        <v>Ha mejorado algo</v>
      </c>
      <c r="AN10" t="e">
        <f>100*H28</f>
        <v>#REF!</v>
      </c>
      <c r="AP10" t="str">
        <f>J28</f>
        <v>Consciente</v>
      </c>
      <c r="AQ10" t="e">
        <f>100*K28</f>
        <v>#REF!</v>
      </c>
      <c r="AS10" t="str">
        <f>M28</f>
        <v>Dispuesto</v>
      </c>
      <c r="AT10" t="e">
        <f>100*N28</f>
        <v>#REF!</v>
      </c>
      <c r="AV10" t="str">
        <f t="shared" si="0"/>
        <v>Menor retención de información</v>
      </c>
      <c r="AW10" t="e">
        <f t="shared" si="0"/>
        <v>#REF!</v>
      </c>
      <c r="AY10" t="str">
        <f t="shared" si="1"/>
        <v>Influencia de compañeros de estudio</v>
      </c>
      <c r="AZ10" t="e">
        <f t="shared" si="1"/>
        <v>#REF!</v>
      </c>
      <c r="BB10" t="str">
        <f t="shared" si="2"/>
        <v>Se anima a usarla, pero con límites claros</v>
      </c>
      <c r="BC10" t="e">
        <f t="shared" si="2"/>
        <v>#REF!</v>
      </c>
    </row>
    <row r="11" spans="1:55">
      <c r="A11" s="1">
        <f>Datos!A11</f>
        <v>23</v>
      </c>
      <c r="B11" s="1" t="e">
        <f>IF(AND(OR(#REF!="Todos",Datos!$E11=#REF!),OR(#REF!="Todos",Datos!$D11=IFERROR(VALUE(#REF!),#REF!)),OR(#REF!="Todos",Datos!$F11=#REF!)),1,0)</f>
        <v>#REF!</v>
      </c>
      <c r="C11" s="1"/>
      <c r="D11" s="1" t="s">
        <v>127</v>
      </c>
      <c r="E11" s="1">
        <f>COUNTIFS($B$2:$B$57,1,Datos!$F$2:$F$57,"Mensualmente")</f>
        <v>0</v>
      </c>
      <c r="F11" s="1"/>
      <c r="G11" s="1">
        <v>2021</v>
      </c>
      <c r="H11" s="1">
        <f>COUNTIFS($B$2:$B$57,1,Datos!$D$2:$D$57,G11)</f>
        <v>0</v>
      </c>
      <c r="I11" s="1"/>
      <c r="J11" s="1" t="s">
        <v>13</v>
      </c>
      <c r="K11" s="3" t="e">
        <f>IF($E$2=0,0,100*COUNTIFS($B$2:$B$57,1,Datos!$I$2:$I$57,"&lt;&gt;Nunca",Datos!$I$2:$I$57,"&lt;&gt;")/$E$2)</f>
        <v>#REF!</v>
      </c>
      <c r="L11" s="1"/>
      <c r="M11" s="1" t="s">
        <v>259</v>
      </c>
      <c r="N11" s="3" t="e">
        <f>IF($E$2=0,0,100*(COUNTIFS($B$2:$B$57,1,Datos!$V$2:$V$57,"Aceptable")+COUNTIFS($B$2:$B$57,1,Datos!$V$2:$V$57,"Totalmente aceptable"))/$E$2)</f>
        <v>#REF!</v>
      </c>
      <c r="O11" s="1"/>
      <c r="P11" s="1"/>
      <c r="Q11" s="1"/>
      <c r="S11">
        <f>IF(ISNUMBER(SEARCH("Me resulta más difícil trabajar o estudiar sin usar IA",Datos!$AG11)),1,0)</f>
        <v>0</v>
      </c>
      <c r="T11">
        <f>IF(ISNUMBER(SEARCH("Siento que retengo menos información cuando uso IA para resolver algo",Datos!$AG11)),1,0)</f>
        <v>1</v>
      </c>
      <c r="U11">
        <f>IF(ISNUMBER(SEARCH("Siento que dependo de la IA para producir un mejor trabajo",Datos!$AG11)),1,0)</f>
        <v>1</v>
      </c>
      <c r="V11">
        <f>IF(ISNUMBER(SEARCH("No he experimentado ninguna de estas situaciones",Datos!$AG11)),1,0)</f>
        <v>0</v>
      </c>
      <c r="AA11">
        <v>2021</v>
      </c>
      <c r="AB11">
        <f>COUNTIFS($B$2:$B$57,1,Datos!$D$2:$D$57,AA11)</f>
        <v>0</v>
      </c>
      <c r="AD11" t="str">
        <f>D20</f>
        <v>Confío en sus resultados</v>
      </c>
      <c r="AE11" t="e">
        <f>100*E20</f>
        <v>#REF!</v>
      </c>
      <c r="AG11" t="str">
        <f>G20</f>
        <v>3 a 6 horas</v>
      </c>
      <c r="AH11" t="e">
        <f>100*H20</f>
        <v>#REF!</v>
      </c>
      <c r="AJ11" t="str">
        <f>D29</f>
        <v>Algunas veces</v>
      </c>
      <c r="AK11" t="e">
        <f>100*E29</f>
        <v>#REF!</v>
      </c>
      <c r="AM11" t="str">
        <f>G29</f>
        <v>No ha cambiado</v>
      </c>
      <c r="AN11" t="e">
        <f>100*H29</f>
        <v>#REF!</v>
      </c>
      <c r="AP11" t="str">
        <f>J29</f>
        <v>Moderadamente consciente</v>
      </c>
      <c r="AQ11" t="e">
        <f>100*K29</f>
        <v>#REF!</v>
      </c>
      <c r="AS11" t="str">
        <f>M29</f>
        <v>Neutral</v>
      </c>
      <c r="AT11" t="e">
        <f>100*N29</f>
        <v>#REF!</v>
      </c>
      <c r="AV11" t="str">
        <f t="shared" si="0"/>
        <v>Dependencia para producir mejor trabajo</v>
      </c>
      <c r="AW11" t="e">
        <f t="shared" si="0"/>
        <v>#REF!</v>
      </c>
      <c r="AY11" t="str">
        <f t="shared" si="1"/>
        <v>Sugerencia de un catedrático</v>
      </c>
      <c r="AZ11" t="e">
        <f t="shared" si="1"/>
        <v>#REF!</v>
      </c>
      <c r="BB11" t="str">
        <f t="shared" si="2"/>
        <v>Se desalienta, permitida en pocos casos</v>
      </c>
      <c r="BC11" t="e">
        <f t="shared" si="2"/>
        <v>#REF!</v>
      </c>
    </row>
    <row r="12" spans="1:55">
      <c r="A12" s="1">
        <f>Datos!A12</f>
        <v>24</v>
      </c>
      <c r="B12" s="1" t="e">
        <f>IF(AND(OR(#REF!="Todos",Datos!$E12=#REF!),OR(#REF!="Todos",Datos!$D12=IFERROR(VALUE(#REF!),#REF!)),OR(#REF!="Todos",Datos!$F12=#REF!)),1,0)</f>
        <v>#REF!</v>
      </c>
      <c r="C12" s="1"/>
      <c r="D12" s="1" t="s">
        <v>48</v>
      </c>
      <c r="E12" s="1">
        <f>COUNTIFS($B$2:$B$57,1,Datos!$F$2:$F$57,"Rara vez (algunas veces al mes)")</f>
        <v>0</v>
      </c>
      <c r="F12" s="1"/>
      <c r="G12" s="1">
        <v>2022</v>
      </c>
      <c r="H12" s="1">
        <f>COUNTIFS($B$2:$B$57,1,Datos!$D$2:$D$57,G12)</f>
        <v>0</v>
      </c>
      <c r="I12" s="1"/>
      <c r="J12" s="1" t="s">
        <v>14</v>
      </c>
      <c r="K12" s="3" t="e">
        <f>IF($E$2=0,0,100*COUNTIFS($B$2:$B$57,1,Datos!$J$2:$J$57,"&lt;&gt;Nunca",Datos!$J$2:$J$57,"&lt;&gt;")/$E$2)</f>
        <v>#REF!</v>
      </c>
      <c r="L12" s="1"/>
      <c r="M12" s="1" t="s">
        <v>260</v>
      </c>
      <c r="N12" s="3" t="e">
        <f>IF($E$2=0,0,100*(COUNTIFS($B$2:$B$57,1,Datos!$W$2:$W$57,"Aceptable")+COUNTIFS($B$2:$B$57,1,Datos!$W$2:$W$57,"Totalmente aceptable"))/$E$2)</f>
        <v>#REF!</v>
      </c>
      <c r="O12" s="1"/>
      <c r="P12" s="1"/>
      <c r="Q12" s="1"/>
      <c r="S12">
        <f>IF(ISNUMBER(SEARCH("Me resulta más difícil trabajar o estudiar sin usar IA",Datos!$AG12)),1,0)</f>
        <v>0</v>
      </c>
      <c r="T12">
        <f>IF(ISNUMBER(SEARCH("Siento que retengo menos información cuando uso IA para resolver algo",Datos!$AG12)),1,0)</f>
        <v>0</v>
      </c>
      <c r="U12">
        <f>IF(ISNUMBER(SEARCH("Siento que dependo de la IA para producir un mejor trabajo",Datos!$AG12)),1,0)</f>
        <v>0</v>
      </c>
      <c r="V12">
        <f>IF(ISNUMBER(SEARCH("No he experimentado ninguna de estas situaciones",Datos!$AG12)),1,0)</f>
        <v>1</v>
      </c>
      <c r="AA12">
        <v>2022</v>
      </c>
      <c r="AB12">
        <f>COUNTIFS($B$2:$B$57,1,Datos!$D$2:$D$57,AA12)</f>
        <v>0</v>
      </c>
      <c r="AD12" t="str">
        <f>D21</f>
        <v>Planeo seguir usándola</v>
      </c>
      <c r="AE12" t="e">
        <f>100*E21</f>
        <v>#REF!</v>
      </c>
      <c r="AG12" t="str">
        <f>G21</f>
        <v>6 a 10 horas</v>
      </c>
      <c r="AH12" t="e">
        <f>100*H21</f>
        <v>#REF!</v>
      </c>
      <c r="AJ12" t="str">
        <f>D30</f>
        <v>Rara vez</v>
      </c>
      <c r="AK12" t="e">
        <f>100*E30</f>
        <v>#REF!</v>
      </c>
      <c r="AM12" t="str">
        <f>G30</f>
        <v>Ha empeorado algo</v>
      </c>
      <c r="AN12" t="e">
        <f>100*H30</f>
        <v>#REF!</v>
      </c>
      <c r="AP12" t="str">
        <f>J30</f>
        <v>Poco consciente</v>
      </c>
      <c r="AQ12" t="e">
        <f>100*K30</f>
        <v>#REF!</v>
      </c>
      <c r="AS12" t="str">
        <f>M30</f>
        <v>Poco dispuesto</v>
      </c>
      <c r="AT12" t="e">
        <f>100*N30</f>
        <v>#REF!</v>
      </c>
      <c r="AV12" t="str">
        <f t="shared" si="0"/>
        <v>Ninguna de las anteriores</v>
      </c>
      <c r="AW12" t="e">
        <f t="shared" si="0"/>
        <v>#REF!</v>
      </c>
      <c r="AY12" t="str">
        <f t="shared" si="1"/>
        <v>Requisito de un curso o trabajo</v>
      </c>
      <c r="AZ12" t="e">
        <f t="shared" si="1"/>
        <v>#REF!</v>
      </c>
      <c r="BB12" t="str">
        <f t="shared" si="2"/>
        <v>Está prohibida por completo</v>
      </c>
      <c r="BC12" t="e">
        <f t="shared" si="2"/>
        <v>#REF!</v>
      </c>
    </row>
    <row r="13" spans="1:55">
      <c r="A13" s="1">
        <f>Datos!A13</f>
        <v>25</v>
      </c>
      <c r="B13" s="1" t="e">
        <f>IF(AND(OR(#REF!="Todos",Datos!$E13=#REF!),OR(#REF!="Todos",Datos!$D13=IFERROR(VALUE(#REF!),#REF!)),OR(#REF!="Todos",Datos!$F13=#REF!)),1,0)</f>
        <v>#REF!</v>
      </c>
      <c r="C13" s="1"/>
      <c r="D13" s="1" t="s">
        <v>50</v>
      </c>
      <c r="E13" s="1">
        <f>COUNTIFS($B$2:$B$57,1,Datos!$F$2:$F$57,"Nunca")</f>
        <v>0</v>
      </c>
      <c r="F13" s="1"/>
      <c r="G13" s="1">
        <v>2023</v>
      </c>
      <c r="H13" s="1">
        <f>COUNTIFS($B$2:$B$57,1,Datos!$D$2:$D$57,G13)</f>
        <v>0</v>
      </c>
      <c r="I13" s="1"/>
      <c r="J13" s="1" t="s">
        <v>15</v>
      </c>
      <c r="K13" s="3" t="e">
        <f>IF($E$2=0,0,100*COUNTIFS($B$2:$B$57,1,Datos!$K$2:$K$57,"&lt;&gt;Nunca",Datos!$K$2:$K$57,"&lt;&gt;")/$E$2)</f>
        <v>#REF!</v>
      </c>
      <c r="L13" s="1"/>
      <c r="M13" s="1" t="s">
        <v>261</v>
      </c>
      <c r="N13" s="3" t="e">
        <f>IF($E$2=0,0,100*(COUNTIFS($B$2:$B$57,1,Datos!$X$2:$X$57,"Aceptable")+COUNTIFS($B$2:$B$57,1,Datos!$X$2:$X$57,"Totalmente aceptable"))/$E$2)</f>
        <v>#REF!</v>
      </c>
      <c r="O13" s="1"/>
      <c r="P13" s="1"/>
      <c r="Q13" s="1"/>
      <c r="S13">
        <f>IF(ISNUMBER(SEARCH("Me resulta más difícil trabajar o estudiar sin usar IA",Datos!$AG13)),1,0)</f>
        <v>1</v>
      </c>
      <c r="T13">
        <f>IF(ISNUMBER(SEARCH("Siento que retengo menos información cuando uso IA para resolver algo",Datos!$AG13)),1,0)</f>
        <v>0</v>
      </c>
      <c r="U13">
        <f>IF(ISNUMBER(SEARCH("Siento que dependo de la IA para producir un mejor trabajo",Datos!$AG13)),1,0)</f>
        <v>0</v>
      </c>
      <c r="V13">
        <f>IF(ISNUMBER(SEARCH("No he experimentado ninguna de estas situaciones",Datos!$AG13)),1,0)</f>
        <v>0</v>
      </c>
      <c r="AA13">
        <v>2023</v>
      </c>
      <c r="AB13">
        <f>COUNTIFS($B$2:$B$57,1,Datos!$D$2:$D$57,AA13)</f>
        <v>0</v>
      </c>
      <c r="AD13" t="str">
        <f>D22</f>
        <v>Estoy satisfecho con su uso</v>
      </c>
      <c r="AE13" t="e">
        <f>100*E22</f>
        <v>#REF!</v>
      </c>
      <c r="AG13" t="str">
        <f>G22</f>
        <v>Más de 10 horas</v>
      </c>
      <c r="AH13" t="e">
        <f>100*H22</f>
        <v>#REF!</v>
      </c>
      <c r="AJ13" t="str">
        <f>D31</f>
        <v>Nunca</v>
      </c>
      <c r="AK13" t="e">
        <f>100*E31</f>
        <v>#REF!</v>
      </c>
      <c r="AM13" t="str">
        <f>G31</f>
        <v>Ha empeorado mucho</v>
      </c>
      <c r="AN13" t="e">
        <f>100*H31</f>
        <v>#REF!</v>
      </c>
      <c r="AP13" t="str">
        <f>J31</f>
        <v>Nada consciente</v>
      </c>
      <c r="AQ13" t="e">
        <f>100*K31</f>
        <v>#REF!</v>
      </c>
      <c r="AS13" t="str">
        <f>M31</f>
        <v>Nada dispuesto</v>
      </c>
      <c r="AT13" t="e">
        <f>100*N31</f>
        <v>#REF!</v>
      </c>
      <c r="AY13" t="str">
        <f t="shared" si="1"/>
        <v>Otro</v>
      </c>
      <c r="AZ13" t="e">
        <f t="shared" si="1"/>
        <v>#REF!</v>
      </c>
      <c r="BB13" t="str">
        <f t="shared" si="2"/>
        <v>No sé cuál es la política de mi universidad</v>
      </c>
      <c r="BC13" t="e">
        <f t="shared" si="2"/>
        <v>#REF!</v>
      </c>
    </row>
    <row r="14" spans="1:55">
      <c r="A14" s="1">
        <f>Datos!A14</f>
        <v>26</v>
      </c>
      <c r="B14" s="1" t="e">
        <f>IF(AND(OR(#REF!="Todos",Datos!$E14=#REF!),OR(#REF!="Todos",Datos!$D14=IFERROR(VALUE(#REF!),#REF!)),OR(#REF!="Todos",Datos!$F14=#REF!)),1,0)</f>
        <v>#REF!</v>
      </c>
      <c r="C14" s="1"/>
      <c r="D14" s="1"/>
      <c r="E14" s="1"/>
      <c r="F14" s="1"/>
      <c r="G14" s="1">
        <v>2024</v>
      </c>
      <c r="H14" s="1">
        <f>COUNTIFS($B$2:$B$57,1,Datos!$D$2:$D$57,G14)</f>
        <v>0</v>
      </c>
      <c r="I14" s="1"/>
      <c r="J14" s="1" t="s">
        <v>16</v>
      </c>
      <c r="K14" s="3" t="e">
        <f>IF($E$2=0,0,100*COUNTIFS($B$2:$B$57,1,Datos!$L$2:$L$57,"&lt;&gt;Nunca",Datos!$L$2:$L$57,"&lt;&gt;")/$E$2)</f>
        <v>#REF!</v>
      </c>
      <c r="L14" s="1"/>
      <c r="M14" s="1" t="s">
        <v>262</v>
      </c>
      <c r="N14" s="3" t="e">
        <f>IF($E$2=0,0,100*(COUNTIFS($B$2:$B$57,1,Datos!$Y$2:$Y$57,"Aceptable")+COUNTIFS($B$2:$B$57,1,Datos!$Y$2:$Y$57,"Totalmente aceptable"))/$E$2)</f>
        <v>#REF!</v>
      </c>
      <c r="O14" s="1"/>
      <c r="P14" s="1"/>
      <c r="Q14" s="1"/>
      <c r="S14">
        <f>IF(ISNUMBER(SEARCH("Me resulta más difícil trabajar o estudiar sin usar IA",Datos!$AG14)),1,0)</f>
        <v>1</v>
      </c>
      <c r="T14">
        <f>IF(ISNUMBER(SEARCH("Siento que retengo menos información cuando uso IA para resolver algo",Datos!$AG14)),1,0)</f>
        <v>0</v>
      </c>
      <c r="U14">
        <f>IF(ISNUMBER(SEARCH("Siento que dependo de la IA para producir un mejor trabajo",Datos!$AG14)),1,0)</f>
        <v>0</v>
      </c>
      <c r="V14">
        <f>IF(ISNUMBER(SEARCH("No he experimentado ninguna de estas situaciones",Datos!$AG14)),1,0)</f>
        <v>0</v>
      </c>
      <c r="AA14">
        <v>2024</v>
      </c>
      <c r="AB14">
        <f>COUNTIFS($B$2:$B$57,1,Datos!$D$2:$D$57,AA14)</f>
        <v>0</v>
      </c>
    </row>
    <row r="15" spans="1:55">
      <c r="A15" s="1">
        <f>Datos!A15</f>
        <v>27</v>
      </c>
      <c r="B15" s="1" t="e">
        <f>IF(AND(OR(#REF!="Todos",Datos!$E15=#REF!),OR(#REF!="Todos",Datos!$D15=IFERROR(VALUE(#REF!),#REF!)),OR(#REF!="Todos",Datos!$F15=#REF!)),1,0)</f>
        <v>#REF!</v>
      </c>
      <c r="C15" s="1"/>
      <c r="D15" s="1"/>
      <c r="E15" s="1"/>
      <c r="F15" s="1"/>
      <c r="G15" s="1">
        <v>2025</v>
      </c>
      <c r="H15" s="1">
        <f>COUNTIFS($B$2:$B$57,1,Datos!$D$2:$D$57,G15)</f>
        <v>0</v>
      </c>
      <c r="I15" s="1"/>
      <c r="J15" s="1"/>
      <c r="K15" s="1"/>
      <c r="L15" s="1"/>
      <c r="M15" s="1"/>
      <c r="N15" s="1"/>
      <c r="O15" s="1"/>
      <c r="P15" s="1"/>
      <c r="Q15" s="1"/>
      <c r="S15">
        <f>IF(ISNUMBER(SEARCH("Me resulta más difícil trabajar o estudiar sin usar IA",Datos!$AG15)),1,0)</f>
        <v>1</v>
      </c>
      <c r="T15">
        <f>IF(ISNUMBER(SEARCH("Siento que retengo menos información cuando uso IA para resolver algo",Datos!$AG15)),1,0)</f>
        <v>0</v>
      </c>
      <c r="U15">
        <f>IF(ISNUMBER(SEARCH("Siento que dependo de la IA para producir un mejor trabajo",Datos!$AG15)),1,0)</f>
        <v>0</v>
      </c>
      <c r="V15">
        <f>IF(ISNUMBER(SEARCH("No he experimentado ninguna de estas situaciones",Datos!$AG15)),1,0)</f>
        <v>0</v>
      </c>
      <c r="AA15">
        <v>2025</v>
      </c>
      <c r="AB15">
        <f>COUNTIFS($B$2:$B$57,1,Datos!$D$2:$D$57,AA15)</f>
        <v>0</v>
      </c>
    </row>
    <row r="16" spans="1:55">
      <c r="A16" s="1">
        <f>Datos!A16</f>
        <v>28</v>
      </c>
      <c r="B16" s="1" t="e">
        <f>IF(AND(OR(#REF!="Todos",Datos!$E16=#REF!),OR(#REF!="Todos",Datos!$D16=IFERROR(VALUE(#REF!),#REF!)),OR(#REF!="Todos",Datos!$F16=#REF!)),1,0)</f>
        <v>#REF!</v>
      </c>
      <c r="C16" s="1"/>
      <c r="D16" s="1"/>
      <c r="E16" s="1"/>
      <c r="F16" s="1"/>
      <c r="G16" s="1">
        <v>2026</v>
      </c>
      <c r="H16" s="1">
        <f>COUNTIFS($B$2:$B$57,1,Datos!$D$2:$D$57,G16)</f>
        <v>0</v>
      </c>
      <c r="I16" s="1"/>
      <c r="J16" s="1"/>
      <c r="K16" s="1"/>
      <c r="L16" s="1"/>
      <c r="M16" s="1"/>
      <c r="N16" s="1"/>
      <c r="O16" s="1"/>
      <c r="P16" s="1"/>
      <c r="Q16" s="1"/>
      <c r="S16">
        <f>IF(ISNUMBER(SEARCH("Me resulta más difícil trabajar o estudiar sin usar IA",Datos!$AG16)),1,0)</f>
        <v>0</v>
      </c>
      <c r="T16">
        <f>IF(ISNUMBER(SEARCH("Siento que retengo menos información cuando uso IA para resolver algo",Datos!$AG16)),1,0)</f>
        <v>0</v>
      </c>
      <c r="U16">
        <f>IF(ISNUMBER(SEARCH("Siento que dependo de la IA para producir un mejor trabajo",Datos!$AG16)),1,0)</f>
        <v>0</v>
      </c>
      <c r="V16">
        <f>IF(ISNUMBER(SEARCH("No he experimentado ninguna de estas situaciones",Datos!$AG16)),1,0)</f>
        <v>1</v>
      </c>
      <c r="AA16">
        <v>2026</v>
      </c>
      <c r="AB16">
        <f>COUNTIFS($B$2:$B$57,1,Datos!$D$2:$D$57,AA16)</f>
        <v>0</v>
      </c>
    </row>
    <row r="17" spans="1:25">
      <c r="A17" s="1">
        <f>Datos!A17</f>
        <v>29</v>
      </c>
      <c r="B17" s="1" t="e">
        <f>IF(AND(OR(#REF!="Todos",Datos!$E17=#REF!),OR(#REF!="Todos",Datos!$D17=IFERROR(VALUE(#REF!),#REF!)),OR(#REF!="Todos",Datos!$F17=#REF!)),1,0)</f>
        <v>#REF!</v>
      </c>
      <c r="C17" s="1"/>
      <c r="D17" s="8" t="s">
        <v>248</v>
      </c>
      <c r="E17" s="8" t="s">
        <v>263</v>
      </c>
      <c r="F17" s="1"/>
      <c r="G17" s="8" t="s">
        <v>250</v>
      </c>
      <c r="H17" s="8" t="s">
        <v>264</v>
      </c>
      <c r="I17" s="1"/>
      <c r="J17" s="8" t="s">
        <v>265</v>
      </c>
      <c r="K17" s="8" t="s">
        <v>264</v>
      </c>
      <c r="L17" s="1"/>
      <c r="M17" s="8" t="s">
        <v>37</v>
      </c>
      <c r="N17" s="8" t="s">
        <v>264</v>
      </c>
      <c r="O17" s="1"/>
      <c r="P17" s="8" t="s">
        <v>266</v>
      </c>
      <c r="Q17" s="8" t="s">
        <v>264</v>
      </c>
      <c r="S17">
        <f>IF(ISNUMBER(SEARCH("Me resulta más difícil trabajar o estudiar sin usar IA",Datos!$AG17)),1,0)</f>
        <v>0</v>
      </c>
      <c r="T17">
        <f>IF(ISNUMBER(SEARCH("Siento que retengo menos información cuando uso IA para resolver algo",Datos!$AG17)),1,0)</f>
        <v>0</v>
      </c>
      <c r="U17">
        <f>IF(ISNUMBER(SEARCH("Siento que dependo de la IA para producir un mejor trabajo",Datos!$AG17)),1,0)</f>
        <v>0</v>
      </c>
      <c r="V17">
        <f>IF(ISNUMBER(SEARCH("No he experimentado ninguna de estas situaciones",Datos!$AG17)),1,0)</f>
        <v>1</v>
      </c>
    </row>
    <row r="18" spans="1:25">
      <c r="A18" s="1">
        <f>Datos!A18</f>
        <v>30</v>
      </c>
      <c r="B18" s="1" t="e">
        <f>IF(AND(OR(#REF!="Todos",Datos!$E18=#REF!),OR(#REF!="Todos",Datos!$D18=IFERROR(VALUE(#REF!),#REF!)),OR(#REF!="Todos",Datos!$F18=#REF!)),1,0)</f>
        <v>#REF!</v>
      </c>
      <c r="C18" s="1"/>
      <c r="D18" s="1" t="s">
        <v>267</v>
      </c>
      <c r="E18" s="2" t="e">
        <f>IF($E$2=0,0,(COUNTIFS($B$2:$B$57,1,Datos!$AB$2:$AB$57,"De acuerdo")+COUNTIFS($B$2:$B$57,1,Datos!$AB$2:$AB$57,"Totalmente de acuerdo"))/$E$2)</f>
        <v>#REF!</v>
      </c>
      <c r="F18" s="1"/>
      <c r="G18" s="1" t="s">
        <v>51</v>
      </c>
      <c r="H18" s="2" t="e">
        <f>IF($E$2=0,0,COUNTIFS($B$2:$B$57,1,Datos!$M$2:$M$57,G18)/$E$2)</f>
        <v>#REF!</v>
      </c>
      <c r="I18" s="1"/>
      <c r="J18" s="1" t="s">
        <v>268</v>
      </c>
      <c r="K18" s="2" t="e">
        <f>IF($E$2=0,0,SUMIFS($S$2:$S$57,$B$2:$B$57,1)/$E$2)</f>
        <v>#REF!</v>
      </c>
      <c r="L18" s="1"/>
      <c r="M18" s="1" t="s">
        <v>78</v>
      </c>
      <c r="N18" s="2" t="e">
        <f>IF($E$2=0,0,COUNTIFS($B$2:$B$57,1,Datos!$AH$2:$AH$57,M18)/$E$2)</f>
        <v>#REF!</v>
      </c>
      <c r="O18" s="1"/>
      <c r="P18" s="1" t="s">
        <v>134</v>
      </c>
      <c r="Q18" s="2" t="e">
        <f>IF($E$2=0,0,COUNTIFS($B$2:$B$57,1,Datos!$AI$2:$AI$57,P18)/$E$2)</f>
        <v>#REF!</v>
      </c>
      <c r="S18">
        <f>IF(ISNUMBER(SEARCH("Me resulta más difícil trabajar o estudiar sin usar IA",Datos!$AG18)),1,0)</f>
        <v>0</v>
      </c>
      <c r="T18">
        <f>IF(ISNUMBER(SEARCH("Siento que retengo menos información cuando uso IA para resolver algo",Datos!$AG18)),1,0)</f>
        <v>1</v>
      </c>
      <c r="U18">
        <f>IF(ISNUMBER(SEARCH("Siento que dependo de la IA para producir un mejor trabajo",Datos!$AG18)),1,0)</f>
        <v>0</v>
      </c>
      <c r="V18">
        <f>IF(ISNUMBER(SEARCH("No he experimentado ninguna de estas situaciones",Datos!$AG18)),1,0)</f>
        <v>0</v>
      </c>
    </row>
    <row r="19" spans="1:25">
      <c r="A19" s="1">
        <f>Datos!A19</f>
        <v>31</v>
      </c>
      <c r="B19" s="1" t="e">
        <f>IF(AND(OR(#REF!="Todos",Datos!$E19=#REF!),OR(#REF!="Todos",Datos!$D19=IFERROR(VALUE(#REF!),#REF!)),OR(#REF!="Todos",Datos!$F19=#REF!)),1,0)</f>
        <v>#REF!</v>
      </c>
      <c r="C19" s="1"/>
      <c r="D19" s="1" t="s">
        <v>269</v>
      </c>
      <c r="E19" s="2" t="e">
        <f>IF($E$2=0,0,(COUNTIFS($B$2:$B$57,1,Datos!$AC$2:$AC$57,"De acuerdo")+COUNTIFS($B$2:$B$57,1,Datos!$AC$2:$AC$57,"Totalmente de acuerdo"))/$E$2)</f>
        <v>#REF!</v>
      </c>
      <c r="F19" s="1"/>
      <c r="G19" s="1" t="s">
        <v>89</v>
      </c>
      <c r="H19" s="2" t="e">
        <f>IF($E$2=0,0,COUNTIFS($B$2:$B$57,1,Datos!$M$2:$M$57,G19)/$E$2)</f>
        <v>#REF!</v>
      </c>
      <c r="I19" s="1"/>
      <c r="J19" s="1" t="s">
        <v>270</v>
      </c>
      <c r="K19" s="2" t="e">
        <f>IF($E$2=0,0,SUMIFS($T$2:$T$57,$B$2:$B$57,1)/$E$2)</f>
        <v>#REF!</v>
      </c>
      <c r="L19" s="1"/>
      <c r="M19" s="1" t="s">
        <v>63</v>
      </c>
      <c r="N19" s="2" t="e">
        <f>IF($E$2=0,0,COUNTIFS($B$2:$B$57,1,Datos!$AH$2:$AH$57,M19)/$E$2)</f>
        <v>#REF!</v>
      </c>
      <c r="O19" s="1"/>
      <c r="P19" s="1" t="s">
        <v>64</v>
      </c>
      <c r="Q19" s="2" t="e">
        <f>IF($E$2=0,0,COUNTIFS($B$2:$B$57,1,Datos!$AI$2:$AI$57,P19)/$E$2)</f>
        <v>#REF!</v>
      </c>
      <c r="S19">
        <f>IF(ISNUMBER(SEARCH("Me resulta más difícil trabajar o estudiar sin usar IA",Datos!$AG19)),1,0)</f>
        <v>0</v>
      </c>
      <c r="T19">
        <f>IF(ISNUMBER(SEARCH("Siento que retengo menos información cuando uso IA para resolver algo",Datos!$AG19)),1,0)</f>
        <v>1</v>
      </c>
      <c r="U19">
        <f>IF(ISNUMBER(SEARCH("Siento que dependo de la IA para producir un mejor trabajo",Datos!$AG19)),1,0)</f>
        <v>0</v>
      </c>
      <c r="V19">
        <f>IF(ISNUMBER(SEARCH("No he experimentado ninguna de estas situaciones",Datos!$AG19)),1,0)</f>
        <v>0</v>
      </c>
    </row>
    <row r="20" spans="1:25">
      <c r="A20" s="1">
        <f>Datos!A20</f>
        <v>32</v>
      </c>
      <c r="B20" s="1" t="e">
        <f>IF(AND(OR(#REF!="Todos",Datos!$E20=#REF!),OR(#REF!="Todos",Datos!$D20=IFERROR(VALUE(#REF!),#REF!)),OR(#REF!="Todos",Datos!$F20=#REF!)),1,0)</f>
        <v>#REF!</v>
      </c>
      <c r="C20" s="1"/>
      <c r="D20" s="1" t="s">
        <v>271</v>
      </c>
      <c r="E20" s="2" t="e">
        <f>IF($E$2=0,0,(COUNTIFS($B$2:$B$57,1,Datos!$AD$2:$AD$57,"De acuerdo")+COUNTIFS($B$2:$B$57,1,Datos!$AD$2:$AD$57,"Totalmente de acuerdo"))/$E$2)</f>
        <v>#REF!</v>
      </c>
      <c r="F20" s="1"/>
      <c r="G20" s="1" t="s">
        <v>83</v>
      </c>
      <c r="H20" s="2" t="e">
        <f>IF($E$2=0,0,COUNTIFS($B$2:$B$57,1,Datos!$M$2:$M$57,G20)/$E$2)</f>
        <v>#REF!</v>
      </c>
      <c r="I20" s="1"/>
      <c r="J20" s="1" t="s">
        <v>272</v>
      </c>
      <c r="K20" s="2" t="e">
        <f>IF($E$2=0,0,SUMIFS($U$2:$U$57,$B$2:$B$57,1)/$E$2)</f>
        <v>#REF!</v>
      </c>
      <c r="L20" s="1"/>
      <c r="M20" s="1" t="s">
        <v>104</v>
      </c>
      <c r="N20" s="2" t="e">
        <f>IF($E$2=0,0,COUNTIFS($B$2:$B$57,1,Datos!$AH$2:$AH$57,M20)/$E$2)</f>
        <v>#REF!</v>
      </c>
      <c r="O20" s="1"/>
      <c r="P20" s="1" t="s">
        <v>79</v>
      </c>
      <c r="Q20" s="2" t="e">
        <f>IF($E$2=0,0,COUNTIFS($B$2:$B$57,1,Datos!$AI$2:$AI$57,P20)/$E$2)</f>
        <v>#REF!</v>
      </c>
      <c r="S20">
        <f>IF(ISNUMBER(SEARCH("Me resulta más difícil trabajar o estudiar sin usar IA",Datos!$AG20)),1,0)</f>
        <v>1</v>
      </c>
      <c r="T20">
        <f>IF(ISNUMBER(SEARCH("Siento que retengo menos información cuando uso IA para resolver algo",Datos!$AG20)),1,0)</f>
        <v>1</v>
      </c>
      <c r="U20">
        <f>IF(ISNUMBER(SEARCH("Siento que dependo de la IA para producir un mejor trabajo",Datos!$AG20)),1,0)</f>
        <v>0</v>
      </c>
      <c r="V20">
        <f>IF(ISNUMBER(SEARCH("No he experimentado ninguna de estas situaciones",Datos!$AG20)),1,0)</f>
        <v>0</v>
      </c>
    </row>
    <row r="21" spans="1:25">
      <c r="A21" s="1">
        <f>Datos!A21</f>
        <v>33</v>
      </c>
      <c r="B21" s="1" t="e">
        <f>IF(AND(OR(#REF!="Todos",Datos!$E21=#REF!),OR(#REF!="Todos",Datos!$D21=IFERROR(VALUE(#REF!),#REF!)),OR(#REF!="Todos",Datos!$F21=#REF!)),1,0)</f>
        <v>#REF!</v>
      </c>
      <c r="C21" s="1"/>
      <c r="D21" s="1" t="s">
        <v>273</v>
      </c>
      <c r="E21" s="2" t="e">
        <f>IF($E$2=0,0,(COUNTIFS($B$2:$B$57,1,Datos!$AE$2:$AE$57,"De acuerdo")+COUNTIFS($B$2:$B$57,1,Datos!$AE$2:$AE$57,"Totalmente de acuerdo"))/$E$2)</f>
        <v>#REF!</v>
      </c>
      <c r="F21" s="1"/>
      <c r="G21" s="1" t="s">
        <v>150</v>
      </c>
      <c r="H21" s="2" t="e">
        <f>IF($E$2=0,0,COUNTIFS($B$2:$B$57,1,Datos!$M$2:$M$57,G21)/$E$2)</f>
        <v>#REF!</v>
      </c>
      <c r="I21" s="1"/>
      <c r="J21" s="1" t="s">
        <v>274</v>
      </c>
      <c r="K21" s="2" t="e">
        <f>IF($E$2=0,0,SUMIFS($V$2:$V$57,$B$2:$B$57,1)/$E$2)</f>
        <v>#REF!</v>
      </c>
      <c r="L21" s="1"/>
      <c r="M21" s="1" t="s">
        <v>159</v>
      </c>
      <c r="N21" s="2" t="e">
        <f>IF($E$2=0,0,COUNTIFS($B$2:$B$57,1,Datos!$AH$2:$AH$57,M21)/$E$2)</f>
        <v>#REF!</v>
      </c>
      <c r="O21" s="1"/>
      <c r="P21" s="1" t="s">
        <v>105</v>
      </c>
      <c r="Q21" s="2" t="e">
        <f>IF($E$2=0,0,COUNTIFS($B$2:$B$57,1,Datos!$AI$2:$AI$57,P21)/$E$2)</f>
        <v>#REF!</v>
      </c>
      <c r="S21">
        <f>IF(ISNUMBER(SEARCH("Me resulta más difícil trabajar o estudiar sin usar IA",Datos!$AG21)),1,0)</f>
        <v>1</v>
      </c>
      <c r="T21">
        <f>IF(ISNUMBER(SEARCH("Siento que retengo menos información cuando uso IA para resolver algo",Datos!$AG21)),1,0)</f>
        <v>0</v>
      </c>
      <c r="U21">
        <f>IF(ISNUMBER(SEARCH("Siento que dependo de la IA para producir un mejor trabajo",Datos!$AG21)),1,0)</f>
        <v>0</v>
      </c>
      <c r="V21">
        <f>IF(ISNUMBER(SEARCH("No he experimentado ninguna de estas situaciones",Datos!$AG21)),1,0)</f>
        <v>0</v>
      </c>
    </row>
    <row r="22" spans="1:25">
      <c r="A22" s="1">
        <f>Datos!A22</f>
        <v>34</v>
      </c>
      <c r="B22" s="1" t="e">
        <f>IF(AND(OR(#REF!="Todos",Datos!$E22=#REF!),OR(#REF!="Todos",Datos!$D22=IFERROR(VALUE(#REF!),#REF!)),OR(#REF!="Todos",Datos!$F22=#REF!)),1,0)</f>
        <v>#REF!</v>
      </c>
      <c r="C22" s="1"/>
      <c r="D22" s="1" t="s">
        <v>275</v>
      </c>
      <c r="E22" s="2" t="e">
        <f>IF($E$2=0,0,(COUNTIFS($B$2:$B$57,1,Datos!$AF$2:$AF$57,"De acuerdo")+COUNTIFS($B$2:$B$57,1,Datos!$AF$2:$AF$57,"Totalmente de acuerdo"))/$E$2)</f>
        <v>#REF!</v>
      </c>
      <c r="F22" s="1"/>
      <c r="G22" s="1" t="s">
        <v>73</v>
      </c>
      <c r="H22" s="2" t="e">
        <f>IF($E$2=0,0,COUNTIFS($B$2:$B$57,1,Datos!$M$2:$M$57,G22)/$E$2)</f>
        <v>#REF!</v>
      </c>
      <c r="I22" s="1"/>
      <c r="J22" s="1"/>
      <c r="K22" s="1"/>
      <c r="L22" s="1"/>
      <c r="M22" s="1" t="s">
        <v>167</v>
      </c>
      <c r="N22" s="2" t="e">
        <f>IF($E$2=0,0,COUNTIFS($B$2:$B$57,1,Datos!$AH$2:$AH$57,M22)/$E$2)</f>
        <v>#REF!</v>
      </c>
      <c r="O22" s="1"/>
      <c r="P22" s="1" t="s">
        <v>120</v>
      </c>
      <c r="Q22" s="2" t="e">
        <f>IF($E$2=0,0,COUNTIFS($B$2:$B$57,1,Datos!$AI$2:$AI$57,P22)/$E$2)</f>
        <v>#REF!</v>
      </c>
      <c r="S22">
        <f>IF(ISNUMBER(SEARCH("Me resulta más difícil trabajar o estudiar sin usar IA",Datos!$AG22)),1,0)</f>
        <v>0</v>
      </c>
      <c r="T22">
        <f>IF(ISNUMBER(SEARCH("Siento que retengo menos información cuando uso IA para resolver algo",Datos!$AG22)),1,0)</f>
        <v>0</v>
      </c>
      <c r="U22">
        <f>IF(ISNUMBER(SEARCH("Siento que dependo de la IA para producir un mejor trabajo",Datos!$AG22)),1,0)</f>
        <v>0</v>
      </c>
      <c r="V22">
        <f>IF(ISNUMBER(SEARCH("No he experimentado ninguna de estas situaciones",Datos!$AG22)),1,0)</f>
        <v>1</v>
      </c>
    </row>
    <row r="23" spans="1:25">
      <c r="A23">
        <f>Datos!A23</f>
        <v>35</v>
      </c>
      <c r="B23" t="e">
        <f>IF(AND(OR(#REF!="Todos",Datos!$E23=#REF!),OR(#REF!="Todos",Datos!$D23=IFERROR(VALUE(#REF!),#REF!)),OR(#REF!="Todos",Datos!$F23=#REF!)),1,0)</f>
        <v>#REF!</v>
      </c>
      <c r="S23">
        <f>IF(ISNUMBER(SEARCH("Me resulta más difícil trabajar o estudiar sin usar IA",Datos!$AG23)),1,0)</f>
        <v>0</v>
      </c>
      <c r="T23">
        <f>IF(ISNUMBER(SEARCH("Siento que retengo menos información cuando uso IA para resolver algo",Datos!$AG23)),1,0)</f>
        <v>0</v>
      </c>
      <c r="U23">
        <f>IF(ISNUMBER(SEARCH("Siento que dependo de la IA para producir un mejor trabajo",Datos!$AG23)),1,0)</f>
        <v>1</v>
      </c>
      <c r="V23">
        <f>IF(ISNUMBER(SEARCH("No he experimentado ninguna de estas situaciones",Datos!$AG23)),1,0)</f>
        <v>0</v>
      </c>
    </row>
    <row r="24" spans="1:25">
      <c r="A24">
        <f>Datos!A24</f>
        <v>36</v>
      </c>
      <c r="B24" t="e">
        <f>IF(AND(OR(#REF!="Todos",Datos!$E24=#REF!),OR(#REF!="Todos",Datos!$D24=IFERROR(VALUE(#REF!),#REF!)),OR(#REF!="Todos",Datos!$F24=#REF!)),1,0)</f>
        <v>#REF!</v>
      </c>
      <c r="S24">
        <f>IF(ISNUMBER(SEARCH("Me resulta más difícil trabajar o estudiar sin usar IA",Datos!$AG24)),1,0)</f>
        <v>0</v>
      </c>
      <c r="T24">
        <f>IF(ISNUMBER(SEARCH("Siento que retengo menos información cuando uso IA para resolver algo",Datos!$AG24)),1,0)</f>
        <v>0</v>
      </c>
      <c r="U24">
        <f>IF(ISNUMBER(SEARCH("Siento que dependo de la IA para producir un mejor trabajo",Datos!$AG24)),1,0)</f>
        <v>1</v>
      </c>
      <c r="V24">
        <f>IF(ISNUMBER(SEARCH("No he experimentado ninguna de estas situaciones",Datos!$AG24)),1,0)</f>
        <v>0</v>
      </c>
    </row>
    <row r="25" spans="1:25">
      <c r="A25">
        <f>Datos!A25</f>
        <v>37</v>
      </c>
      <c r="B25" t="e">
        <f>IF(AND(OR(#REF!="Todos",Datos!$E25=#REF!),OR(#REF!="Todos",Datos!$D25=IFERROR(VALUE(#REF!),#REF!)),OR(#REF!="Todos",Datos!$F25=#REF!)),1,0)</f>
        <v>#REF!</v>
      </c>
      <c r="S25">
        <f>IF(ISNUMBER(SEARCH("Me resulta más difícil trabajar o estudiar sin usar IA",Datos!$AG25)),1,0)</f>
        <v>1</v>
      </c>
      <c r="T25">
        <f>IF(ISNUMBER(SEARCH("Siento que retengo menos información cuando uso IA para resolver algo",Datos!$AG25)),1,0)</f>
        <v>0</v>
      </c>
      <c r="U25">
        <f>IF(ISNUMBER(SEARCH("Siento que dependo de la IA para producir un mejor trabajo",Datos!$AG25)),1,0)</f>
        <v>0</v>
      </c>
      <c r="V25">
        <f>IF(ISNUMBER(SEARCH("No he experimentado ninguna de estas situaciones",Datos!$AG25)),1,0)</f>
        <v>0</v>
      </c>
    </row>
    <row r="26" spans="1:25">
      <c r="A26">
        <f>Datos!A26</f>
        <v>38</v>
      </c>
      <c r="B26" t="e">
        <f>IF(AND(OR(#REF!="Todos",Datos!$E26=#REF!),OR(#REF!="Todos",Datos!$D26=IFERROR(VALUE(#REF!),#REF!)),OR(#REF!="Todos",Datos!$F26=#REF!)),1,0)</f>
        <v>#REF!</v>
      </c>
      <c r="D26" s="8" t="s">
        <v>276</v>
      </c>
      <c r="E26" s="8" t="s">
        <v>249</v>
      </c>
      <c r="G26" s="8" t="s">
        <v>276</v>
      </c>
      <c r="H26" s="8" t="s">
        <v>249</v>
      </c>
      <c r="J26" s="8" t="s">
        <v>276</v>
      </c>
      <c r="K26" s="8" t="s">
        <v>249</v>
      </c>
      <c r="M26" s="8" t="s">
        <v>276</v>
      </c>
      <c r="N26" s="8" t="s">
        <v>249</v>
      </c>
      <c r="P26" s="8" t="s">
        <v>276</v>
      </c>
      <c r="Q26" s="8" t="s">
        <v>249</v>
      </c>
      <c r="S26">
        <f>IF(ISNUMBER(SEARCH("Me resulta más difícil trabajar o estudiar sin usar IA",Datos!$AG26)),1,0)</f>
        <v>0</v>
      </c>
      <c r="T26">
        <f>IF(ISNUMBER(SEARCH("Siento que retengo menos información cuando uso IA para resolver algo",Datos!$AG26)),1,0)</f>
        <v>0</v>
      </c>
      <c r="U26">
        <f>IF(ISNUMBER(SEARCH("Siento que dependo de la IA para producir un mejor trabajo",Datos!$AG26)),1,0)</f>
        <v>0</v>
      </c>
      <c r="V26">
        <f>IF(ISNUMBER(SEARCH("No he experimentado ninguna de estas situaciones",Datos!$AG26)),1,0)</f>
        <v>1</v>
      </c>
      <c r="X26" s="8" t="s">
        <v>277</v>
      </c>
      <c r="Y26" s="8" t="s">
        <v>235</v>
      </c>
    </row>
    <row r="27" spans="1:25">
      <c r="A27">
        <f>Datos!A27</f>
        <v>39</v>
      </c>
      <c r="B27" t="e">
        <f>IF(AND(OR(#REF!="Todos",Datos!$E27=#REF!),OR(#REF!="Todos",Datos!$D27=IFERROR(VALUE(#REF!),#REF!)),OR(#REF!="Todos",Datos!$F27=#REF!)),1,0)</f>
        <v>#REF!</v>
      </c>
      <c r="D27" t="s">
        <v>74</v>
      </c>
      <c r="E27" s="7" t="e">
        <f>IF($E$2=0,0,COUNTIFS($B$2:$B$57,1,Datos!$AJ$2:$AJ$57,D27)/$E$2)</f>
        <v>#REF!</v>
      </c>
      <c r="G27" t="s">
        <v>80</v>
      </c>
      <c r="H27" s="7" t="e">
        <f>IF($E$2=0,0,COUNTIFS($B$2:$B$57,1,Datos!$AK$2:$AK$57,G27)/$E$2)</f>
        <v>#REF!</v>
      </c>
      <c r="J27" t="s">
        <v>92</v>
      </c>
      <c r="K27" s="7" t="e">
        <f>IF($E$2=0,0,COUNTIFS($B$2:$B$57,1,Datos!$AL$2:$AL$57,J27)/$E$2)</f>
        <v>#REF!</v>
      </c>
      <c r="M27" t="s">
        <v>109</v>
      </c>
      <c r="N27" s="7" t="e">
        <f>IF($E$2=0,0,COUNTIFS($B$2:$B$57,1,Datos!$AM$2:$AM$57,M27)/$E$2)</f>
        <v>#REF!</v>
      </c>
      <c r="P27" t="s">
        <v>110</v>
      </c>
      <c r="Q27" s="9" t="e">
        <f>IF($E$2=0,0,100*COUNTIFS($B$2:$B$57,1,Datos!$AN$2:$AN$57,P27)/$E$2)</f>
        <v>#REF!</v>
      </c>
      <c r="S27">
        <f>IF(ISNUMBER(SEARCH("Me resulta más difícil trabajar o estudiar sin usar IA",Datos!$AG27)),1,0)</f>
        <v>1</v>
      </c>
      <c r="T27">
        <f>IF(ISNUMBER(SEARCH("Siento que retengo menos información cuando uso IA para resolver algo",Datos!$AG27)),1,0)</f>
        <v>1</v>
      </c>
      <c r="U27">
        <f>IF(ISNUMBER(SEARCH("Siento que dependo de la IA para producir un mejor trabajo",Datos!$AG27)),1,0)</f>
        <v>1</v>
      </c>
      <c r="V27">
        <f>IF(ISNUMBER(SEARCH("No he experimentado ninguna de estas situaciones",Datos!$AG27)),1,0)</f>
        <v>0</v>
      </c>
      <c r="X27" t="s">
        <v>278</v>
      </c>
      <c r="Y27" s="7" t="e">
        <f>IF($E$2=0,0,(COUNTIFS($B$2:$B$57,1,Datos!$AJ$2:$AJ$57,"Siempre")+COUNTIFS($B$2:$B$57,1,Datos!$AJ$2:$AJ$57,"Frecuentemente"))/$E$2)</f>
        <v>#REF!</v>
      </c>
    </row>
    <row r="28" spans="1:25">
      <c r="A28">
        <f>Datos!A28</f>
        <v>40</v>
      </c>
      <c r="B28" t="e">
        <f>IF(AND(OR(#REF!="Todos",Datos!$E28=#REF!),OR(#REF!="Todos",Datos!$D28=IFERROR(VALUE(#REF!),#REF!)),OR(#REF!="Todos",Datos!$F28=#REF!)),1,0)</f>
        <v>#REF!</v>
      </c>
      <c r="D28" t="s">
        <v>52</v>
      </c>
      <c r="E28" s="7" t="e">
        <f>IF($E$2=0,0,COUNTIFS($B$2:$B$57,1,Datos!$AJ$2:$AJ$57,D28)/$E$2)</f>
        <v>#REF!</v>
      </c>
      <c r="G28" t="s">
        <v>65</v>
      </c>
      <c r="H28" s="7" t="e">
        <f>IF($E$2=0,0,COUNTIFS($B$2:$B$57,1,Datos!$AK$2:$AK$57,G28)/$E$2)</f>
        <v>#REF!</v>
      </c>
      <c r="J28" t="s">
        <v>66</v>
      </c>
      <c r="K28" s="7" t="e">
        <f>IF($E$2=0,0,COUNTIFS($B$2:$B$57,1,Datos!$AL$2:$AL$57,J28)/$E$2)</f>
        <v>#REF!</v>
      </c>
      <c r="M28" t="s">
        <v>124</v>
      </c>
      <c r="N28" s="7" t="e">
        <f>IF($E$2=0,0,COUNTIFS($B$2:$B$57,1,Datos!$AM$2:$AM$57,M28)/$E$2)</f>
        <v>#REF!</v>
      </c>
      <c r="P28" t="s">
        <v>99</v>
      </c>
      <c r="Q28" s="9" t="e">
        <f>IF($E$2=0,0,100*COUNTIFS($B$2:$B$57,1,Datos!$AN$2:$AN$57,P28)/$E$2)</f>
        <v>#REF!</v>
      </c>
      <c r="S28">
        <f>IF(ISNUMBER(SEARCH("Me resulta más difícil trabajar o estudiar sin usar IA",Datos!$AG28)),1,0)</f>
        <v>1</v>
      </c>
      <c r="T28">
        <f>IF(ISNUMBER(SEARCH("Siento que retengo menos información cuando uso IA para resolver algo",Datos!$AG28)),1,0)</f>
        <v>0</v>
      </c>
      <c r="U28">
        <f>IF(ISNUMBER(SEARCH("Siento que dependo de la IA para producir un mejor trabajo",Datos!$AG28)),1,0)</f>
        <v>1</v>
      </c>
      <c r="V28">
        <f>IF(ISNUMBER(SEARCH("No he experimentado ninguna de estas situaciones",Datos!$AG28)),1,0)</f>
        <v>0</v>
      </c>
      <c r="X28" t="s">
        <v>5</v>
      </c>
      <c r="Y28" s="7" t="e">
        <f>IF($E$2=0,0,(COUNTIFS($B$2:$B$57,1,Datos!$AK$2:$AK$57,"Ha mejorado mucho")+COUNTIFS($B$2:$B$57,1,Datos!$AK$2:$AK$57,"Ha mejorado algo"))/$E$2)</f>
        <v>#REF!</v>
      </c>
    </row>
    <row r="29" spans="1:25">
      <c r="A29">
        <f>Datos!A29</f>
        <v>41</v>
      </c>
      <c r="B29" t="e">
        <f>IF(AND(OR(#REF!="Todos",Datos!$E29=#REF!),OR(#REF!="Todos",Datos!$D29=IFERROR(VALUE(#REF!),#REF!)),OR(#REF!="Todos",Datos!$F29=#REF!)),1,0)</f>
        <v>#REF!</v>
      </c>
      <c r="D29" t="s">
        <v>53</v>
      </c>
      <c r="E29" s="7" t="e">
        <f>IF($E$2=0,0,COUNTIFS($B$2:$B$57,1,Datos!$AJ$2:$AJ$57,D29)/$E$2)</f>
        <v>#REF!</v>
      </c>
      <c r="G29" t="s">
        <v>98</v>
      </c>
      <c r="H29" s="7" t="e">
        <f>IF($E$2=0,0,COUNTIFS($B$2:$B$57,1,Datos!$AK$2:$AK$57,G29)/$E$2)</f>
        <v>#REF!</v>
      </c>
      <c r="J29" t="s">
        <v>86</v>
      </c>
      <c r="K29" s="7" t="e">
        <f>IF($E$2=0,0,COUNTIFS($B$2:$B$57,1,Datos!$AL$2:$AL$57,J29)/$E$2)</f>
        <v>#REF!</v>
      </c>
      <c r="M29" t="s">
        <v>55</v>
      </c>
      <c r="N29" s="7" t="e">
        <f>IF($E$2=0,0,COUNTIFS($B$2:$B$57,1,Datos!$AM$2:$AM$57,M29)/$E$2)</f>
        <v>#REF!</v>
      </c>
      <c r="P29" t="s">
        <v>68</v>
      </c>
      <c r="Q29" s="9" t="e">
        <f>IF($E$2=0,0,100*COUNTIFS($B$2:$B$57,1,Datos!$AN$2:$AN$57,P29)/$E$2)</f>
        <v>#REF!</v>
      </c>
      <c r="S29">
        <f>IF(ISNUMBER(SEARCH("Me resulta más difícil trabajar o estudiar sin usar IA",Datos!$AG29)),1,0)</f>
        <v>0</v>
      </c>
      <c r="T29">
        <f>IF(ISNUMBER(SEARCH("Siento que retengo menos información cuando uso IA para resolver algo",Datos!$AG29)),1,0)</f>
        <v>1</v>
      </c>
      <c r="U29">
        <f>IF(ISNUMBER(SEARCH("Siento que dependo de la IA para producir un mejor trabajo",Datos!$AG29)),1,0)</f>
        <v>0</v>
      </c>
      <c r="V29">
        <f>IF(ISNUMBER(SEARCH("No he experimentado ninguna de estas situaciones",Datos!$AG29)),1,0)</f>
        <v>0</v>
      </c>
      <c r="X29" t="s">
        <v>279</v>
      </c>
      <c r="Y29" s="7" t="e">
        <f>IF($E$2=0,0,(COUNTIFS($B$2:$B$57,1,Datos!$AL$2:$AL$57,"Muy consciente")+COUNTIFS($B$2:$B$57,1,Datos!$AL$2:$AL$57,"Consciente"))/$E$2)</f>
        <v>#REF!</v>
      </c>
    </row>
    <row r="30" spans="1:25">
      <c r="A30">
        <f>Datos!A30</f>
        <v>42</v>
      </c>
      <c r="B30" t="e">
        <f>IF(AND(OR(#REF!="Todos",Datos!$E30=#REF!),OR(#REF!="Todos",Datos!$D30=IFERROR(VALUE(#REF!),#REF!)),OR(#REF!="Todos",Datos!$F30=#REF!)),1,0)</f>
        <v>#REF!</v>
      </c>
      <c r="D30" t="s">
        <v>48</v>
      </c>
      <c r="E30" s="7" t="e">
        <f>IF($E$2=0,0,COUNTIFS($B$2:$B$57,1,Datos!$AJ$2:$AJ$57,D30)/$E$2)</f>
        <v>#REF!</v>
      </c>
      <c r="G30" t="s">
        <v>162</v>
      </c>
      <c r="H30" s="7" t="e">
        <f>IF($E$2=0,0,COUNTIFS($B$2:$B$57,1,Datos!$AK$2:$AK$57,G30)/$E$2)</f>
        <v>#REF!</v>
      </c>
      <c r="J30" t="s">
        <v>165</v>
      </c>
      <c r="K30" s="7" t="e">
        <f>IF($E$2=0,0,COUNTIFS($B$2:$B$57,1,Datos!$AL$2:$AL$57,J30)/$E$2)</f>
        <v>#REF!</v>
      </c>
      <c r="M30" t="s">
        <v>67</v>
      </c>
      <c r="N30" s="7" t="e">
        <f>IF($E$2=0,0,COUNTIFS($B$2:$B$57,1,Datos!$AM$2:$AM$57,M30)/$E$2)</f>
        <v>#REF!</v>
      </c>
      <c r="P30" t="s">
        <v>121</v>
      </c>
      <c r="Q30" s="9" t="e">
        <f>IF($E$2=0,0,100*COUNTIFS($B$2:$B$57,1,Datos!$AN$2:$AN$57,P30)/$E$2)</f>
        <v>#REF!</v>
      </c>
      <c r="S30">
        <f>IF(ISNUMBER(SEARCH("Me resulta más difícil trabajar o estudiar sin usar IA",Datos!$AG30)),1,0)</f>
        <v>1</v>
      </c>
      <c r="T30">
        <f>IF(ISNUMBER(SEARCH("Siento que retengo menos información cuando uso IA para resolver algo",Datos!$AG30)),1,0)</f>
        <v>0</v>
      </c>
      <c r="U30">
        <f>IF(ISNUMBER(SEARCH("Siento que dependo de la IA para producir un mejor trabajo",Datos!$AG30)),1,0)</f>
        <v>0</v>
      </c>
      <c r="V30">
        <f>IF(ISNUMBER(SEARCH("No he experimentado ninguna de estas situaciones",Datos!$AG30)),1,0)</f>
        <v>0</v>
      </c>
      <c r="X30" t="s">
        <v>280</v>
      </c>
      <c r="Y30" s="7" t="e">
        <f>IF($E$2=0,0,(COUNTIFS($B$2:$B$57,1,Datos!$AM$2:$AM$57,"Muy dispuesto")+COUNTIFS($B$2:$B$57,1,Datos!$AM$2:$AM$57,"Dispuesto"))/$E$2)</f>
        <v>#REF!</v>
      </c>
    </row>
    <row r="31" spans="1:25">
      <c r="A31">
        <f>Datos!A31</f>
        <v>43</v>
      </c>
      <c r="B31" t="e">
        <f>IF(AND(OR(#REF!="Todos",Datos!$E31=#REF!),OR(#REF!="Todos",Datos!$D31=IFERROR(VALUE(#REF!),#REF!)),OR(#REF!="Todos",Datos!$F31=#REF!)),1,0)</f>
        <v>#REF!</v>
      </c>
      <c r="D31" t="s">
        <v>50</v>
      </c>
      <c r="E31" s="7" t="e">
        <f>IF($E$2=0,0,COUNTIFS($B$2:$B$57,1,Datos!$AJ$2:$AJ$57,D31)/$E$2)</f>
        <v>#REF!</v>
      </c>
      <c r="G31" t="s">
        <v>281</v>
      </c>
      <c r="H31" s="7" t="e">
        <f>IF($E$2=0,0,COUNTIFS($B$2:$B$57,1,Datos!$AK$2:$AK$57,G31)/$E$2)</f>
        <v>#REF!</v>
      </c>
      <c r="J31" t="s">
        <v>282</v>
      </c>
      <c r="K31" s="7" t="e">
        <f>IF($E$2=0,0,COUNTIFS($B$2:$B$57,1,Datos!$AL$2:$AL$57,J31)/$E$2)</f>
        <v>#REF!</v>
      </c>
      <c r="M31" t="s">
        <v>155</v>
      </c>
      <c r="N31" s="7" t="e">
        <f>IF($E$2=0,0,COUNTIFS($B$2:$B$57,1,Datos!$AM$2:$AM$57,M31)/$E$2)</f>
        <v>#REF!</v>
      </c>
      <c r="P31" t="s">
        <v>217</v>
      </c>
      <c r="Q31" s="9" t="e">
        <f>IF($E$2=0,0,100*COUNTIFS($B$2:$B$57,1,Datos!$AN$2:$AN$57,P31)/$E$2)</f>
        <v>#REF!</v>
      </c>
      <c r="S31">
        <f>IF(ISNUMBER(SEARCH("Me resulta más difícil trabajar o estudiar sin usar IA",Datos!$AG31)),1,0)</f>
        <v>0</v>
      </c>
      <c r="T31">
        <f>IF(ISNUMBER(SEARCH("Siento que retengo menos información cuando uso IA para resolver algo",Datos!$AG31)),1,0)</f>
        <v>0</v>
      </c>
      <c r="U31">
        <f>IF(ISNUMBER(SEARCH("Siento que dependo de la IA para producir un mejor trabajo",Datos!$AG31)),1,0)</f>
        <v>0</v>
      </c>
      <c r="V31">
        <f>IF(ISNUMBER(SEARCH("No he experimentado ninguna de estas situaciones",Datos!$AG31)),1,0)</f>
        <v>1</v>
      </c>
    </row>
    <row r="32" spans="1:25">
      <c r="A32">
        <f>Datos!A32</f>
        <v>44</v>
      </c>
      <c r="B32" t="e">
        <f>IF(AND(OR(#REF!="Todos",Datos!$E32=#REF!),OR(#REF!="Todos",Datos!$D32=IFERROR(VALUE(#REF!),#REF!)),OR(#REF!="Todos",Datos!$F32=#REF!)),1,0)</f>
        <v>#REF!</v>
      </c>
      <c r="P32" t="s">
        <v>93</v>
      </c>
      <c r="Q32" s="9" t="e">
        <f>IF($E$2=0,0,100*COUNTIFS($B$2:$B$57,1,Datos!$AN$2:$AN$57,P32)/$E$2)</f>
        <v>#REF!</v>
      </c>
      <c r="S32">
        <f>IF(ISNUMBER(SEARCH("Me resulta más difícil trabajar o estudiar sin usar IA",Datos!$AG32)),1,0)</f>
        <v>1</v>
      </c>
      <c r="T32">
        <f>IF(ISNUMBER(SEARCH("Siento que retengo menos información cuando uso IA para resolver algo",Datos!$AG32)),1,0)</f>
        <v>0</v>
      </c>
      <c r="U32">
        <f>IF(ISNUMBER(SEARCH("Siento que dependo de la IA para producir un mejor trabajo",Datos!$AG32)),1,0)</f>
        <v>0</v>
      </c>
      <c r="V32">
        <f>IF(ISNUMBER(SEARCH("No he experimentado ninguna de estas situaciones",Datos!$AG32)),1,0)</f>
        <v>0</v>
      </c>
    </row>
    <row r="33" spans="1:22">
      <c r="A33">
        <f>Datos!A33</f>
        <v>45</v>
      </c>
      <c r="B33" t="e">
        <f>IF(AND(OR(#REF!="Todos",Datos!$E33=#REF!),OR(#REF!="Todos",Datos!$D33=IFERROR(VALUE(#REF!),#REF!)),OR(#REF!="Todos",Datos!$F33=#REF!)),1,0)</f>
        <v>#REF!</v>
      </c>
      <c r="S33">
        <f>IF(ISNUMBER(SEARCH("Me resulta más difícil trabajar o estudiar sin usar IA",Datos!$AG33)),1,0)</f>
        <v>0</v>
      </c>
      <c r="T33">
        <f>IF(ISNUMBER(SEARCH("Siento que retengo menos información cuando uso IA para resolver algo",Datos!$AG33)),1,0)</f>
        <v>0</v>
      </c>
      <c r="U33">
        <f>IF(ISNUMBER(SEARCH("Siento que dependo de la IA para producir un mejor trabajo",Datos!$AG33)),1,0)</f>
        <v>0</v>
      </c>
      <c r="V33">
        <f>IF(ISNUMBER(SEARCH("No he experimentado ninguna de estas situaciones",Datos!$AG33)),1,0)</f>
        <v>1</v>
      </c>
    </row>
    <row r="34" spans="1:22">
      <c r="A34">
        <f>Datos!A34</f>
        <v>46</v>
      </c>
      <c r="B34" t="e">
        <f>IF(AND(OR(#REF!="Todos",Datos!$E34=#REF!),OR(#REF!="Todos",Datos!$D34=IFERROR(VALUE(#REF!),#REF!)),OR(#REF!="Todos",Datos!$F34=#REF!)),1,0)</f>
        <v>#REF!</v>
      </c>
      <c r="S34">
        <f>IF(ISNUMBER(SEARCH("Me resulta más difícil trabajar o estudiar sin usar IA",Datos!$AG34)),1,0)</f>
        <v>1</v>
      </c>
      <c r="T34">
        <f>IF(ISNUMBER(SEARCH("Siento que retengo menos información cuando uso IA para resolver algo",Datos!$AG34)),1,0)</f>
        <v>1</v>
      </c>
      <c r="U34">
        <f>IF(ISNUMBER(SEARCH("Siento que dependo de la IA para producir un mejor trabajo",Datos!$AG34)),1,0)</f>
        <v>0</v>
      </c>
      <c r="V34">
        <f>IF(ISNUMBER(SEARCH("No he experimentado ninguna de estas situaciones",Datos!$AG34)),1,0)</f>
        <v>0</v>
      </c>
    </row>
    <row r="35" spans="1:22">
      <c r="A35">
        <f>Datos!A35</f>
        <v>47</v>
      </c>
      <c r="B35" t="e">
        <f>IF(AND(OR(#REF!="Todos",Datos!$E35=#REF!),OR(#REF!="Todos",Datos!$D35=IFERROR(VALUE(#REF!),#REF!)),OR(#REF!="Todos",Datos!$F35=#REF!)),1,0)</f>
        <v>#REF!</v>
      </c>
      <c r="S35">
        <f>IF(ISNUMBER(SEARCH("Me resulta más difícil trabajar o estudiar sin usar IA",Datos!$AG35)),1,0)</f>
        <v>1</v>
      </c>
      <c r="T35">
        <f>IF(ISNUMBER(SEARCH("Siento que retengo menos información cuando uso IA para resolver algo",Datos!$AG35)),1,0)</f>
        <v>1</v>
      </c>
      <c r="U35">
        <f>IF(ISNUMBER(SEARCH("Siento que dependo de la IA para producir un mejor trabajo",Datos!$AG35)),1,0)</f>
        <v>0</v>
      </c>
      <c r="V35">
        <f>IF(ISNUMBER(SEARCH("No he experimentado ninguna de estas situaciones",Datos!$AG35)),1,0)</f>
        <v>0</v>
      </c>
    </row>
    <row r="36" spans="1:22">
      <c r="A36">
        <f>Datos!A36</f>
        <v>48</v>
      </c>
      <c r="B36" t="e">
        <f>IF(AND(OR(#REF!="Todos",Datos!$E36=#REF!),OR(#REF!="Todos",Datos!$D36=IFERROR(VALUE(#REF!),#REF!)),OR(#REF!="Todos",Datos!$F36=#REF!)),1,0)</f>
        <v>#REF!</v>
      </c>
      <c r="S36">
        <f>IF(ISNUMBER(SEARCH("Me resulta más difícil trabajar o estudiar sin usar IA",Datos!$AG36)),1,0)</f>
        <v>1</v>
      </c>
      <c r="T36">
        <f>IF(ISNUMBER(SEARCH("Siento que retengo menos información cuando uso IA para resolver algo",Datos!$AG36)),1,0)</f>
        <v>0</v>
      </c>
      <c r="U36">
        <f>IF(ISNUMBER(SEARCH("Siento que dependo de la IA para producir un mejor trabajo",Datos!$AG36)),1,0)</f>
        <v>0</v>
      </c>
      <c r="V36">
        <f>IF(ISNUMBER(SEARCH("No he experimentado ninguna de estas situaciones",Datos!$AG36)),1,0)</f>
        <v>0</v>
      </c>
    </row>
    <row r="37" spans="1:22">
      <c r="A37">
        <f>Datos!A37</f>
        <v>49</v>
      </c>
      <c r="B37" t="e">
        <f>IF(AND(OR(#REF!="Todos",Datos!$E37=#REF!),OR(#REF!="Todos",Datos!$D37=IFERROR(VALUE(#REF!),#REF!)),OR(#REF!="Todos",Datos!$F37=#REF!)),1,0)</f>
        <v>#REF!</v>
      </c>
      <c r="S37">
        <f>IF(ISNUMBER(SEARCH("Me resulta más difícil trabajar o estudiar sin usar IA",Datos!$AG37)),1,0)</f>
        <v>0</v>
      </c>
      <c r="T37">
        <f>IF(ISNUMBER(SEARCH("Siento que retengo menos información cuando uso IA para resolver algo",Datos!$AG37)),1,0)</f>
        <v>0</v>
      </c>
      <c r="U37">
        <f>IF(ISNUMBER(SEARCH("Siento que dependo de la IA para producir un mejor trabajo",Datos!$AG37)),1,0)</f>
        <v>0</v>
      </c>
      <c r="V37">
        <f>IF(ISNUMBER(SEARCH("No he experimentado ninguna de estas situaciones",Datos!$AG37)),1,0)</f>
        <v>1</v>
      </c>
    </row>
    <row r="38" spans="1:22">
      <c r="A38">
        <f>Datos!A38</f>
        <v>50</v>
      </c>
      <c r="B38" t="e">
        <f>IF(AND(OR(#REF!="Todos",Datos!$E38=#REF!),OR(#REF!="Todos",Datos!$D38=IFERROR(VALUE(#REF!),#REF!)),OR(#REF!="Todos",Datos!$F38=#REF!)),1,0)</f>
        <v>#REF!</v>
      </c>
      <c r="S38">
        <f>IF(ISNUMBER(SEARCH("Me resulta más difícil trabajar o estudiar sin usar IA",Datos!$AG38)),1,0)</f>
        <v>1</v>
      </c>
      <c r="T38">
        <f>IF(ISNUMBER(SEARCH("Siento que retengo menos información cuando uso IA para resolver algo",Datos!$AG38)),1,0)</f>
        <v>0</v>
      </c>
      <c r="U38">
        <f>IF(ISNUMBER(SEARCH("Siento que dependo de la IA para producir un mejor trabajo",Datos!$AG38)),1,0)</f>
        <v>1</v>
      </c>
      <c r="V38">
        <f>IF(ISNUMBER(SEARCH("No he experimentado ninguna de estas situaciones",Datos!$AG38)),1,0)</f>
        <v>0</v>
      </c>
    </row>
    <row r="39" spans="1:22">
      <c r="A39">
        <f>Datos!A39</f>
        <v>51</v>
      </c>
      <c r="B39" t="e">
        <f>IF(AND(OR(#REF!="Todos",Datos!$E39=#REF!),OR(#REF!="Todos",Datos!$D39=IFERROR(VALUE(#REF!),#REF!)),OR(#REF!="Todos",Datos!$F39=#REF!)),1,0)</f>
        <v>#REF!</v>
      </c>
      <c r="S39">
        <f>IF(ISNUMBER(SEARCH("Me resulta más difícil trabajar o estudiar sin usar IA",Datos!$AG39)),1,0)</f>
        <v>1</v>
      </c>
      <c r="T39">
        <f>IF(ISNUMBER(SEARCH("Siento que retengo menos información cuando uso IA para resolver algo",Datos!$AG39)),1,0)</f>
        <v>0</v>
      </c>
      <c r="U39">
        <f>IF(ISNUMBER(SEARCH("Siento que dependo de la IA para producir un mejor trabajo",Datos!$AG39)),1,0)</f>
        <v>0</v>
      </c>
      <c r="V39">
        <f>IF(ISNUMBER(SEARCH("No he experimentado ninguna de estas situaciones",Datos!$AG39)),1,0)</f>
        <v>0</v>
      </c>
    </row>
    <row r="40" spans="1:22">
      <c r="A40">
        <f>Datos!A40</f>
        <v>52</v>
      </c>
      <c r="B40" t="e">
        <f>IF(AND(OR(#REF!="Todos",Datos!$E40=#REF!),OR(#REF!="Todos",Datos!$D40=IFERROR(VALUE(#REF!),#REF!)),OR(#REF!="Todos",Datos!$F40=#REF!)),1,0)</f>
        <v>#REF!</v>
      </c>
      <c r="S40">
        <f>IF(ISNUMBER(SEARCH("Me resulta más difícil trabajar o estudiar sin usar IA",Datos!$AG40)),1,0)</f>
        <v>1</v>
      </c>
      <c r="T40">
        <f>IF(ISNUMBER(SEARCH("Siento que retengo menos información cuando uso IA para resolver algo",Datos!$AG40)),1,0)</f>
        <v>0</v>
      </c>
      <c r="U40">
        <f>IF(ISNUMBER(SEARCH("Siento que dependo de la IA para producir un mejor trabajo",Datos!$AG40)),1,0)</f>
        <v>0</v>
      </c>
      <c r="V40">
        <f>IF(ISNUMBER(SEARCH("No he experimentado ninguna de estas situaciones",Datos!$AG40)),1,0)</f>
        <v>0</v>
      </c>
    </row>
    <row r="41" spans="1:22">
      <c r="A41">
        <f>Datos!A41</f>
        <v>53</v>
      </c>
      <c r="B41" t="e">
        <f>IF(AND(OR(#REF!="Todos",Datos!$E41=#REF!),OR(#REF!="Todos",Datos!$D41=IFERROR(VALUE(#REF!),#REF!)),OR(#REF!="Todos",Datos!$F41=#REF!)),1,0)</f>
        <v>#REF!</v>
      </c>
      <c r="S41">
        <f>IF(ISNUMBER(SEARCH("Me resulta más difícil trabajar o estudiar sin usar IA",Datos!$AG41)),1,0)</f>
        <v>1</v>
      </c>
      <c r="T41">
        <f>IF(ISNUMBER(SEARCH("Siento que retengo menos información cuando uso IA para resolver algo",Datos!$AG41)),1,0)</f>
        <v>0</v>
      </c>
      <c r="U41">
        <f>IF(ISNUMBER(SEARCH("Siento que dependo de la IA para producir un mejor trabajo",Datos!$AG41)),1,0)</f>
        <v>1</v>
      </c>
      <c r="V41">
        <f>IF(ISNUMBER(SEARCH("No he experimentado ninguna de estas situaciones",Datos!$AG41)),1,0)</f>
        <v>0</v>
      </c>
    </row>
    <row r="42" spans="1:22">
      <c r="A42">
        <f>Datos!A42</f>
        <v>54</v>
      </c>
      <c r="B42" t="e">
        <f>IF(AND(OR(#REF!="Todos",Datos!$E42=#REF!),OR(#REF!="Todos",Datos!$D42=IFERROR(VALUE(#REF!),#REF!)),OR(#REF!="Todos",Datos!$F42=#REF!)),1,0)</f>
        <v>#REF!</v>
      </c>
      <c r="S42">
        <f>IF(ISNUMBER(SEARCH("Me resulta más difícil trabajar o estudiar sin usar IA",Datos!$AG42)),1,0)</f>
        <v>1</v>
      </c>
      <c r="T42">
        <f>IF(ISNUMBER(SEARCH("Siento que retengo menos información cuando uso IA para resolver algo",Datos!$AG42)),1,0)</f>
        <v>0</v>
      </c>
      <c r="U42">
        <f>IF(ISNUMBER(SEARCH("Siento que dependo de la IA para producir un mejor trabajo",Datos!$AG42)),1,0)</f>
        <v>1</v>
      </c>
      <c r="V42">
        <f>IF(ISNUMBER(SEARCH("No he experimentado ninguna de estas situaciones",Datos!$AG42)),1,0)</f>
        <v>0</v>
      </c>
    </row>
    <row r="43" spans="1:22">
      <c r="A43">
        <f>Datos!A43</f>
        <v>55</v>
      </c>
      <c r="B43" t="e">
        <f>IF(AND(OR(#REF!="Todos",Datos!$E43=#REF!),OR(#REF!="Todos",Datos!$D43=IFERROR(VALUE(#REF!),#REF!)),OR(#REF!="Todos",Datos!$F43=#REF!)),1,0)</f>
        <v>#REF!</v>
      </c>
      <c r="S43">
        <f>IF(ISNUMBER(SEARCH("Me resulta más difícil trabajar o estudiar sin usar IA",Datos!$AG43)),1,0)</f>
        <v>0</v>
      </c>
      <c r="T43">
        <f>IF(ISNUMBER(SEARCH("Siento que retengo menos información cuando uso IA para resolver algo",Datos!$AG43)),1,0)</f>
        <v>0</v>
      </c>
      <c r="U43">
        <f>IF(ISNUMBER(SEARCH("Siento que dependo de la IA para producir un mejor trabajo",Datos!$AG43)),1,0)</f>
        <v>1</v>
      </c>
      <c r="V43">
        <f>IF(ISNUMBER(SEARCH("No he experimentado ninguna de estas situaciones",Datos!$AG43)),1,0)</f>
        <v>0</v>
      </c>
    </row>
    <row r="44" spans="1:22">
      <c r="A44">
        <f>Datos!A44</f>
        <v>56</v>
      </c>
      <c r="B44" t="e">
        <f>IF(AND(OR(#REF!="Todos",Datos!$E44=#REF!),OR(#REF!="Todos",Datos!$D44=IFERROR(VALUE(#REF!),#REF!)),OR(#REF!="Todos",Datos!$F44=#REF!)),1,0)</f>
        <v>#REF!</v>
      </c>
      <c r="S44">
        <f>IF(ISNUMBER(SEARCH("Me resulta más difícil trabajar o estudiar sin usar IA",Datos!$AG44)),1,0)</f>
        <v>1</v>
      </c>
      <c r="T44">
        <f>IF(ISNUMBER(SEARCH("Siento que retengo menos información cuando uso IA para resolver algo",Datos!$AG44)),1,0)</f>
        <v>0</v>
      </c>
      <c r="U44">
        <f>IF(ISNUMBER(SEARCH("Siento que dependo de la IA para producir un mejor trabajo",Datos!$AG44)),1,0)</f>
        <v>0</v>
      </c>
      <c r="V44">
        <f>IF(ISNUMBER(SEARCH("No he experimentado ninguna de estas situaciones",Datos!$AG44)),1,0)</f>
        <v>0</v>
      </c>
    </row>
    <row r="45" spans="1:22">
      <c r="A45">
        <f>Datos!A45</f>
        <v>57</v>
      </c>
      <c r="B45" t="e">
        <f>IF(AND(OR(#REF!="Todos",Datos!$E45=#REF!),OR(#REF!="Todos",Datos!$D45=IFERROR(VALUE(#REF!),#REF!)),OR(#REF!="Todos",Datos!$F45=#REF!)),1,0)</f>
        <v>#REF!</v>
      </c>
      <c r="S45">
        <f>IF(ISNUMBER(SEARCH("Me resulta más difícil trabajar o estudiar sin usar IA",Datos!$AG45)),1,0)</f>
        <v>1</v>
      </c>
      <c r="T45">
        <f>IF(ISNUMBER(SEARCH("Siento que retengo menos información cuando uso IA para resolver algo",Datos!$AG45)),1,0)</f>
        <v>1</v>
      </c>
      <c r="U45">
        <f>IF(ISNUMBER(SEARCH("Siento que dependo de la IA para producir un mejor trabajo",Datos!$AG45)),1,0)</f>
        <v>0</v>
      </c>
      <c r="V45">
        <f>IF(ISNUMBER(SEARCH("No he experimentado ninguna de estas situaciones",Datos!$AG45)),1,0)</f>
        <v>0</v>
      </c>
    </row>
    <row r="46" spans="1:22">
      <c r="A46">
        <f>Datos!A46</f>
        <v>58</v>
      </c>
      <c r="B46" t="e">
        <f>IF(AND(OR(#REF!="Todos",Datos!$E46=#REF!),OR(#REF!="Todos",Datos!$D46=IFERROR(VALUE(#REF!),#REF!)),OR(#REF!="Todos",Datos!$F46=#REF!)),1,0)</f>
        <v>#REF!</v>
      </c>
      <c r="S46">
        <f>IF(ISNUMBER(SEARCH("Me resulta más difícil trabajar o estudiar sin usar IA",Datos!$AG46)),1,0)</f>
        <v>0</v>
      </c>
      <c r="T46">
        <f>IF(ISNUMBER(SEARCH("Siento que retengo menos información cuando uso IA para resolver algo",Datos!$AG46)),1,0)</f>
        <v>0</v>
      </c>
      <c r="U46">
        <f>IF(ISNUMBER(SEARCH("Siento que dependo de la IA para producir un mejor trabajo",Datos!$AG46)),1,0)</f>
        <v>1</v>
      </c>
      <c r="V46">
        <f>IF(ISNUMBER(SEARCH("No he experimentado ninguna de estas situaciones",Datos!$AG46)),1,0)</f>
        <v>0</v>
      </c>
    </row>
    <row r="47" spans="1:22">
      <c r="A47">
        <f>Datos!A47</f>
        <v>59</v>
      </c>
      <c r="B47" t="e">
        <f>IF(AND(OR(#REF!="Todos",Datos!$E47=#REF!),OR(#REF!="Todos",Datos!$D47=IFERROR(VALUE(#REF!),#REF!)),OR(#REF!="Todos",Datos!$F47=#REF!)),1,0)</f>
        <v>#REF!</v>
      </c>
      <c r="S47">
        <f>IF(ISNUMBER(SEARCH("Me resulta más difícil trabajar o estudiar sin usar IA",Datos!$AG47)),1,0)</f>
        <v>0</v>
      </c>
      <c r="T47">
        <f>IF(ISNUMBER(SEARCH("Siento que retengo menos información cuando uso IA para resolver algo",Datos!$AG47)),1,0)</f>
        <v>0</v>
      </c>
      <c r="U47">
        <f>IF(ISNUMBER(SEARCH("Siento que dependo de la IA para producir un mejor trabajo",Datos!$AG47)),1,0)</f>
        <v>0</v>
      </c>
      <c r="V47">
        <f>IF(ISNUMBER(SEARCH("No he experimentado ninguna de estas situaciones",Datos!$AG47)),1,0)</f>
        <v>1</v>
      </c>
    </row>
    <row r="48" spans="1:22">
      <c r="A48">
        <f>Datos!A48</f>
        <v>60</v>
      </c>
      <c r="B48" t="e">
        <f>IF(AND(OR(#REF!="Todos",Datos!$E48=#REF!),OR(#REF!="Todos",Datos!$D48=IFERROR(VALUE(#REF!),#REF!)),OR(#REF!="Todos",Datos!$F48=#REF!)),1,0)</f>
        <v>#REF!</v>
      </c>
      <c r="S48">
        <f>IF(ISNUMBER(SEARCH("Me resulta más difícil trabajar o estudiar sin usar IA",Datos!$AG48)),1,0)</f>
        <v>0</v>
      </c>
      <c r="T48">
        <f>IF(ISNUMBER(SEARCH("Siento que retengo menos información cuando uso IA para resolver algo",Datos!$AG48)),1,0)</f>
        <v>0</v>
      </c>
      <c r="U48">
        <f>IF(ISNUMBER(SEARCH("Siento que dependo de la IA para producir un mejor trabajo",Datos!$AG48)),1,0)</f>
        <v>1</v>
      </c>
      <c r="V48">
        <f>IF(ISNUMBER(SEARCH("No he experimentado ninguna de estas situaciones",Datos!$AG48)),1,0)</f>
        <v>0</v>
      </c>
    </row>
    <row r="49" spans="1:22">
      <c r="A49">
        <f>Datos!A49</f>
        <v>61</v>
      </c>
      <c r="B49" t="e">
        <f>IF(AND(OR(#REF!="Todos",Datos!$E49=#REF!),OR(#REF!="Todos",Datos!$D49=IFERROR(VALUE(#REF!),#REF!)),OR(#REF!="Todos",Datos!$F49=#REF!)),1,0)</f>
        <v>#REF!</v>
      </c>
      <c r="S49">
        <f>IF(ISNUMBER(SEARCH("Me resulta más difícil trabajar o estudiar sin usar IA",Datos!$AG49)),1,0)</f>
        <v>0</v>
      </c>
      <c r="T49">
        <f>IF(ISNUMBER(SEARCH("Siento que retengo menos información cuando uso IA para resolver algo",Datos!$AG49)),1,0)</f>
        <v>1</v>
      </c>
      <c r="U49">
        <f>IF(ISNUMBER(SEARCH("Siento que dependo de la IA para producir un mejor trabajo",Datos!$AG49)),1,0)</f>
        <v>0</v>
      </c>
      <c r="V49">
        <f>IF(ISNUMBER(SEARCH("No he experimentado ninguna de estas situaciones",Datos!$AG49)),1,0)</f>
        <v>0</v>
      </c>
    </row>
    <row r="50" spans="1:22">
      <c r="A50">
        <f>Datos!A50</f>
        <v>62</v>
      </c>
      <c r="B50" t="e">
        <f>IF(AND(OR(#REF!="Todos",Datos!$E50=#REF!),OR(#REF!="Todos",Datos!$D50=IFERROR(VALUE(#REF!),#REF!)),OR(#REF!="Todos",Datos!$F50=#REF!)),1,0)</f>
        <v>#REF!</v>
      </c>
      <c r="S50">
        <f>IF(ISNUMBER(SEARCH("Me resulta más difícil trabajar o estudiar sin usar IA",Datos!$AG50)),1,0)</f>
        <v>1</v>
      </c>
      <c r="T50">
        <f>IF(ISNUMBER(SEARCH("Siento que retengo menos información cuando uso IA para resolver algo",Datos!$AG50)),1,0)</f>
        <v>0</v>
      </c>
      <c r="U50">
        <f>IF(ISNUMBER(SEARCH("Siento que dependo de la IA para producir un mejor trabajo",Datos!$AG50)),1,0)</f>
        <v>0</v>
      </c>
      <c r="V50">
        <f>IF(ISNUMBER(SEARCH("No he experimentado ninguna de estas situaciones",Datos!$AG50)),1,0)</f>
        <v>0</v>
      </c>
    </row>
    <row r="51" spans="1:22">
      <c r="A51">
        <f>Datos!A51</f>
        <v>63</v>
      </c>
      <c r="B51" t="e">
        <f>IF(AND(OR(#REF!="Todos",Datos!$E51=#REF!),OR(#REF!="Todos",Datos!$D51=IFERROR(VALUE(#REF!),#REF!)),OR(#REF!="Todos",Datos!$F51=#REF!)),1,0)</f>
        <v>#REF!</v>
      </c>
      <c r="S51">
        <f>IF(ISNUMBER(SEARCH("Me resulta más difícil trabajar o estudiar sin usar IA",Datos!$AG51)),1,0)</f>
        <v>1</v>
      </c>
      <c r="T51">
        <f>IF(ISNUMBER(SEARCH("Siento que retengo menos información cuando uso IA para resolver algo",Datos!$AG51)),1,0)</f>
        <v>0</v>
      </c>
      <c r="U51">
        <f>IF(ISNUMBER(SEARCH("Siento que dependo de la IA para producir un mejor trabajo",Datos!$AG51)),1,0)</f>
        <v>0</v>
      </c>
      <c r="V51">
        <f>IF(ISNUMBER(SEARCH("No he experimentado ninguna de estas situaciones",Datos!$AG51)),1,0)</f>
        <v>0</v>
      </c>
    </row>
    <row r="52" spans="1:22">
      <c r="A52">
        <f>Datos!A52</f>
        <v>64</v>
      </c>
      <c r="B52" t="e">
        <f>IF(AND(OR(#REF!="Todos",Datos!$E52=#REF!),OR(#REF!="Todos",Datos!$D52=IFERROR(VALUE(#REF!),#REF!)),OR(#REF!="Todos",Datos!$F52=#REF!)),1,0)</f>
        <v>#REF!</v>
      </c>
      <c r="S52">
        <f>IF(ISNUMBER(SEARCH("Me resulta más difícil trabajar o estudiar sin usar IA",Datos!$AG52)),1,0)</f>
        <v>0</v>
      </c>
      <c r="T52">
        <f>IF(ISNUMBER(SEARCH("Siento que retengo menos información cuando uso IA para resolver algo",Datos!$AG52)),1,0)</f>
        <v>0</v>
      </c>
      <c r="U52">
        <f>IF(ISNUMBER(SEARCH("Siento que dependo de la IA para producir un mejor trabajo",Datos!$AG52)),1,0)</f>
        <v>1</v>
      </c>
      <c r="V52">
        <f>IF(ISNUMBER(SEARCH("No he experimentado ninguna de estas situaciones",Datos!$AG52)),1,0)</f>
        <v>0</v>
      </c>
    </row>
    <row r="53" spans="1:22">
      <c r="A53">
        <f>Datos!A53</f>
        <v>65</v>
      </c>
      <c r="B53" t="e">
        <f>IF(AND(OR(#REF!="Todos",Datos!$E53=#REF!),OR(#REF!="Todos",Datos!$D53=IFERROR(VALUE(#REF!),#REF!)),OR(#REF!="Todos",Datos!$F53=#REF!)),1,0)</f>
        <v>#REF!</v>
      </c>
      <c r="S53">
        <f>IF(ISNUMBER(SEARCH("Me resulta más difícil trabajar o estudiar sin usar IA",Datos!$AG53)),1,0)</f>
        <v>0</v>
      </c>
      <c r="T53">
        <f>IF(ISNUMBER(SEARCH("Siento que retengo menos información cuando uso IA para resolver algo",Datos!$AG53)),1,0)</f>
        <v>0</v>
      </c>
      <c r="U53">
        <f>IF(ISNUMBER(SEARCH("Siento que dependo de la IA para producir un mejor trabajo",Datos!$AG53)),1,0)</f>
        <v>0</v>
      </c>
      <c r="V53">
        <f>IF(ISNUMBER(SEARCH("No he experimentado ninguna de estas situaciones",Datos!$AG53)),1,0)</f>
        <v>1</v>
      </c>
    </row>
    <row r="54" spans="1:22">
      <c r="A54">
        <f>Datos!A54</f>
        <v>66</v>
      </c>
      <c r="B54" t="e">
        <f>IF(AND(OR(#REF!="Todos",Datos!$E54=#REF!),OR(#REF!="Todos",Datos!$D54=IFERROR(VALUE(#REF!),#REF!)),OR(#REF!="Todos",Datos!$F54=#REF!)),1,0)</f>
        <v>#REF!</v>
      </c>
      <c r="S54">
        <f>IF(ISNUMBER(SEARCH("Me resulta más difícil trabajar o estudiar sin usar IA",Datos!$AG54)),1,0)</f>
        <v>0</v>
      </c>
      <c r="T54">
        <f>IF(ISNUMBER(SEARCH("Siento que retengo menos información cuando uso IA para resolver algo",Datos!$AG54)),1,0)</f>
        <v>1</v>
      </c>
      <c r="U54">
        <f>IF(ISNUMBER(SEARCH("Siento que dependo de la IA para producir un mejor trabajo",Datos!$AG54)),1,0)</f>
        <v>0</v>
      </c>
      <c r="V54">
        <f>IF(ISNUMBER(SEARCH("No he experimentado ninguna de estas situaciones",Datos!$AG54)),1,0)</f>
        <v>0</v>
      </c>
    </row>
    <row r="55" spans="1:22">
      <c r="A55">
        <f>Datos!A55</f>
        <v>67</v>
      </c>
      <c r="B55" t="e">
        <f>IF(AND(OR(#REF!="Todos",Datos!$E55=#REF!),OR(#REF!="Todos",Datos!$D55=IFERROR(VALUE(#REF!),#REF!)),OR(#REF!="Todos",Datos!$F55=#REF!)),1,0)</f>
        <v>#REF!</v>
      </c>
      <c r="S55">
        <f>IF(ISNUMBER(SEARCH("Me resulta más difícil trabajar o estudiar sin usar IA",Datos!$AG55)),1,0)</f>
        <v>0</v>
      </c>
      <c r="T55">
        <f>IF(ISNUMBER(SEARCH("Siento que retengo menos información cuando uso IA para resolver algo",Datos!$AG55)),1,0)</f>
        <v>1</v>
      </c>
      <c r="U55">
        <f>IF(ISNUMBER(SEARCH("Siento que dependo de la IA para producir un mejor trabajo",Datos!$AG55)),1,0)</f>
        <v>0</v>
      </c>
      <c r="V55">
        <f>IF(ISNUMBER(SEARCH("No he experimentado ninguna de estas situaciones",Datos!$AG55)),1,0)</f>
        <v>0</v>
      </c>
    </row>
    <row r="56" spans="1:22">
      <c r="A56">
        <f>Datos!A56</f>
        <v>68</v>
      </c>
      <c r="B56" t="e">
        <f>IF(AND(OR(#REF!="Todos",Datos!$E56=#REF!),OR(#REF!="Todos",Datos!$D56=IFERROR(VALUE(#REF!),#REF!)),OR(#REF!="Todos",Datos!$F56=#REF!)),1,0)</f>
        <v>#REF!</v>
      </c>
      <c r="S56">
        <f>IF(ISNUMBER(SEARCH("Me resulta más difícil trabajar o estudiar sin usar IA",Datos!$AG56)),1,0)</f>
        <v>0</v>
      </c>
      <c r="T56">
        <f>IF(ISNUMBER(SEARCH("Siento que retengo menos información cuando uso IA para resolver algo",Datos!$AG56)),1,0)</f>
        <v>0</v>
      </c>
      <c r="U56">
        <f>IF(ISNUMBER(SEARCH("Siento que dependo de la IA para producir un mejor trabajo",Datos!$AG56)),1,0)</f>
        <v>1</v>
      </c>
      <c r="V56">
        <f>IF(ISNUMBER(SEARCH("No he experimentado ninguna de estas situaciones",Datos!$AG56)),1,0)</f>
        <v>0</v>
      </c>
    </row>
    <row r="57" spans="1:22">
      <c r="A57">
        <f>Datos!A57</f>
        <v>69</v>
      </c>
      <c r="B57" t="e">
        <f>IF(AND(OR(#REF!="Todos",Datos!$E57=#REF!),OR(#REF!="Todos",Datos!$D57=IFERROR(VALUE(#REF!),#REF!)),OR(#REF!="Todos",Datos!$F57=#REF!)),1,0)</f>
        <v>#REF!</v>
      </c>
      <c r="S57">
        <f>IF(ISNUMBER(SEARCH("Me resulta más difícil trabajar o estudiar sin usar IA",Datos!$AG57)),1,0)</f>
        <v>1</v>
      </c>
      <c r="T57">
        <f>IF(ISNUMBER(SEARCH("Siento que retengo menos información cuando uso IA para resolver algo",Datos!$AG57)),1,0)</f>
        <v>0</v>
      </c>
      <c r="U57">
        <f>IF(ISNUMBER(SEARCH("Siento que dependo de la IA para producir un mejor trabajo",Datos!$AG57)),1,0)</f>
        <v>0</v>
      </c>
      <c r="V57">
        <f>IF(ISNUMBER(SEARCH("No he experimentado ninguna de estas situaciones",Datos!$AG57)),1,0)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796875" defaultRowHeight="13.8"/>
  <cols>
    <col min="1" max="3" width="28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t="s">
        <v>283</v>
      </c>
      <c r="B2" t="s">
        <v>283</v>
      </c>
      <c r="C2" t="s">
        <v>283</v>
      </c>
    </row>
    <row r="3" spans="1:3">
      <c r="A3" t="s">
        <v>96</v>
      </c>
      <c r="B3">
        <v>2017</v>
      </c>
      <c r="C3" t="s">
        <v>71</v>
      </c>
    </row>
    <row r="4" spans="1:3">
      <c r="A4" t="s">
        <v>45</v>
      </c>
      <c r="B4">
        <v>2019</v>
      </c>
      <c r="C4" t="s">
        <v>46</v>
      </c>
    </row>
    <row r="5" spans="1:3">
      <c r="B5">
        <v>2021</v>
      </c>
      <c r="C5" t="s">
        <v>127</v>
      </c>
    </row>
    <row r="6" spans="1:3">
      <c r="B6">
        <v>2022</v>
      </c>
      <c r="C6" t="s">
        <v>158</v>
      </c>
    </row>
    <row r="7" spans="1:3">
      <c r="B7">
        <v>2023</v>
      </c>
      <c r="C7" t="s">
        <v>50</v>
      </c>
    </row>
    <row r="8" spans="1:3">
      <c r="B8">
        <v>2024</v>
      </c>
    </row>
    <row r="9" spans="1:3">
      <c r="B9">
        <v>2025</v>
      </c>
    </row>
    <row r="10" spans="1:3">
      <c r="B10">
        <v>2026</v>
      </c>
    </row>
    <row r="11" spans="1:3">
      <c r="B11">
        <v>2027</v>
      </c>
    </row>
    <row r="12" spans="1:3">
      <c r="B1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Calculos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Reyes</dc:creator>
  <cp:lastModifiedBy>Diego Reyes</cp:lastModifiedBy>
  <dcterms:created xsi:type="dcterms:W3CDTF">2026-10-01T23:10:47Z</dcterms:created>
  <dcterms:modified xsi:type="dcterms:W3CDTF">2026-10-03T22:17:16Z</dcterms:modified>
</cp:coreProperties>
</file>